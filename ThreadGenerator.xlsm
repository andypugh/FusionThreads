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Whitworth" sheetId="1" r:id="rId5"/>
  </sheets>
  <definedNames>
    <definedName name="threadTableHeaders_Whitworth">Whitworth!$7:$7</definedName>
  </definedNames>
  <calcPr/>
  <extLst>
    <ext uri="GoogleSheetsCustomDataVersion2">
      <go:sheetsCustomData xmlns:go="http://customooxmlschemas.google.com/" r:id="rId6" roundtripDataChecksum="Ph3Kp1fitF4nf0MHBn/0PchTaOOAl48GFWMXOa/++sU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G8">
      <text>
        <t xml:space="preserve">======
ID#AAABUbbjA5w
Matt McNeill    (2024-08-24 10:48:43)
Only created tolerance formula for external class medium</t>
      </text>
    </comment>
    <comment authorId="0" ref="A5">
      <text>
        <t xml:space="preserve">======
ID#AAABUbbjA5g
andypugh    (2024-08-24 09:09:02)
0 Trapezoid
1 Sharp
5 Square
7 Whitworth</t>
      </text>
    </comment>
    <comment authorId="0" ref="A2">
      <text>
        <t xml:space="preserve">======
ID#AAABUbbjA5c
andypugh    (2024-08-24 09:09:02)
in
mm</t>
      </text>
    </comment>
  </commentList>
  <extLst>
    <ext uri="GoogleSheetsCustomDataVersion2">
      <go:sheetsCustomData xmlns:go="http://customooxmlschemas.google.com/" r:id="rId1" roundtripDataSignature="AMtx7mivtlOZ0ZiFS8pfRB7rQUSVdkK9sQ=="/>
    </ext>
  </extLst>
</comments>
</file>

<file path=xl/sharedStrings.xml><?xml version="1.0" encoding="utf-8"?>
<sst xmlns="http://schemas.openxmlformats.org/spreadsheetml/2006/main" count="222" uniqueCount="35">
  <si>
    <t>Name</t>
  </si>
  <si>
    <t>Whitworth</t>
  </si>
  <si>
    <t>Thread Calculator</t>
  </si>
  <si>
    <t>Triangle Height</t>
  </si>
  <si>
    <t>H = pitch *</t>
  </si>
  <si>
    <t>Unit</t>
  </si>
  <si>
    <t>in</t>
  </si>
  <si>
    <t>Tooth Height</t>
  </si>
  <si>
    <t>h = pitch *</t>
  </si>
  <si>
    <t>Angle</t>
  </si>
  <si>
    <t>Flank Length</t>
  </si>
  <si>
    <t>L = pitch *</t>
  </si>
  <si>
    <t>SortOrder</t>
  </si>
  <si>
    <t>ThreadForm</t>
  </si>
  <si>
    <t>external</t>
  </si>
  <si>
    <t>internal</t>
  </si>
  <si>
    <t>Type</t>
  </si>
  <si>
    <t>Size</t>
  </si>
  <si>
    <t>TPI</t>
  </si>
  <si>
    <t>ThreadDesignation</t>
  </si>
  <si>
    <t>CTD</t>
  </si>
  <si>
    <t>Class</t>
  </si>
  <si>
    <t>Tolerance (Med)</t>
  </si>
  <si>
    <t>MajorDia</t>
  </si>
  <si>
    <t>PitchDia</t>
  </si>
  <si>
    <t>MinorDia</t>
  </si>
  <si>
    <t>Tolerance (Medium)</t>
  </si>
  <si>
    <t>TapDrill (in)</t>
  </si>
  <si>
    <t>TapDrill (mm)</t>
  </si>
  <si>
    <t>BSW</t>
  </si>
  <si>
    <t>Medium</t>
  </si>
  <si>
    <t>BSF</t>
  </si>
  <si>
    <r>
      <rPr>
        <rFont val="CentITCBkBT"/>
        <color theme="1"/>
        <sz val="9.0"/>
      </rPr>
      <t>1</t>
    </r>
    <r>
      <rPr>
        <rFont val="CentITCBkBT"/>
        <color theme="1"/>
        <sz val="5.0"/>
      </rPr>
      <t xml:space="preserve">1 - </t>
    </r>
  </si>
  <si>
    <r>
      <rPr>
        <rFont val="CentITCBkBT"/>
        <color theme="1"/>
        <sz val="6.0"/>
      </rPr>
      <t xml:space="preserve">A) </t>
    </r>
    <r>
      <rPr>
        <rFont val="CentITCBkBT"/>
        <color theme="1"/>
        <sz val="9.0"/>
      </rPr>
      <t xml:space="preserve">Dimensionally, the </t>
    </r>
    <r>
      <rPr>
        <rFont val="CentITCBkBT"/>
        <color theme="1"/>
        <sz val="5.0"/>
      </rPr>
      <t xml:space="preserve">1- </t>
    </r>
    <r>
      <rPr>
        <rFont val="CentITCBkBT"/>
        <color theme="1"/>
        <sz val="9.0"/>
      </rPr>
      <t xml:space="preserve">in × 40 t.p.i. thread belongs more appropriately to the B.S.F. series, but it has for so long been </t>
    </r>
    <r>
      <rPr>
        <rFont val="CentITCBkBT"/>
        <color theme="1"/>
        <sz val="5.0"/>
      </rPr>
      <t xml:space="preserve">8 </t>
    </r>
  </si>
  <si>
    <t xml:space="preserve">associated with the B.S.W. series that it is now included here.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</si>
</sst>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#,##0.0000000"/>
    <numFmt numFmtId="165" formatCode="0.00000"/>
    <numFmt numFmtId="166" formatCode="#,##0.000"/>
    <numFmt numFmtId="167" formatCode="0.000"/>
  </numFmts>
  <fonts count="10">
    <font>
      <sz val="12.0"/>
      <color theme="1"/>
      <name val="Calibri"/>
      <scheme val="minor"/>
    </font>
    <font>
      <sz val="12.0"/>
      <color theme="1"/>
      <name val="Calibri"/>
    </font>
    <font>
      <u/>
      <sz val="12.0"/>
      <color rgb="FF0000FF"/>
      <name val="Calibri"/>
    </font>
    <font>
      <color theme="1"/>
      <name val="Calibri"/>
      <scheme val="minor"/>
    </font>
    <font>
      <sz val="9.0"/>
      <color theme="1"/>
      <name val="CentITCBkBT"/>
    </font>
    <font>
      <sz val="10.0"/>
      <color theme="1"/>
      <name val="-webkit-standard"/>
    </font>
    <font>
      <sz val="12.0"/>
      <color theme="1"/>
      <name val="-webkit-standard"/>
    </font>
    <font>
      <b/>
      <sz val="10.0"/>
      <color rgb="FFFF0000"/>
      <name val="-webkit-standard"/>
    </font>
    <font>
      <sz val="5.0"/>
      <color theme="1"/>
      <name val="CentITCBkBT"/>
    </font>
    <font>
      <sz val="6.0"/>
      <color theme="1"/>
      <name val="CentITCBkBT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2" numFmtId="0" xfId="0" applyAlignment="1" applyFont="1">
      <alignment horizontal="right" readingOrder="0"/>
    </xf>
    <xf borderId="0" fillId="0" fontId="3" numFmtId="0" xfId="0" applyAlignment="1" applyFont="1">
      <alignment readingOrder="0"/>
    </xf>
    <xf borderId="0" fillId="0" fontId="1" numFmtId="0" xfId="0" applyAlignment="1" applyFont="1">
      <alignment horizontal="right" readingOrder="0"/>
    </xf>
    <xf borderId="0" fillId="0" fontId="1" numFmtId="0" xfId="0" applyAlignment="1" applyFont="1">
      <alignment horizontal="center" readingOrder="0"/>
    </xf>
    <xf borderId="0" fillId="0" fontId="1" numFmtId="164" xfId="0" applyAlignment="1" applyFont="1" applyNumberFormat="1">
      <alignment horizontal="center"/>
    </xf>
    <xf borderId="0" fillId="0" fontId="1" numFmtId="13" xfId="0" applyAlignment="1" applyFont="1" applyNumberFormat="1">
      <alignment horizontal="center" vertical="bottom"/>
    </xf>
    <xf borderId="0" fillId="0" fontId="1" numFmtId="0" xfId="0" applyAlignment="1" applyFont="1">
      <alignment horizontal="center" vertical="bottom"/>
    </xf>
    <xf borderId="0" fillId="0" fontId="1" numFmtId="16" xfId="0" applyAlignment="1" applyFont="1" applyNumberFormat="1">
      <alignment horizontal="center" vertical="bottom"/>
    </xf>
    <xf borderId="0" fillId="0" fontId="1" numFmtId="0" xfId="0" applyAlignment="1" applyFont="1">
      <alignment horizontal="center" vertical="bottom"/>
    </xf>
    <xf borderId="0" fillId="0" fontId="1" numFmtId="165" xfId="0" applyAlignment="1" applyFont="1" applyNumberFormat="1">
      <alignment horizontal="center" vertical="bottom"/>
    </xf>
    <xf borderId="0" fillId="0" fontId="1" numFmtId="166" xfId="0" applyAlignment="1" applyFont="1" applyNumberFormat="1">
      <alignment horizontal="center" vertical="bottom"/>
    </xf>
    <xf borderId="0" fillId="0" fontId="1" numFmtId="167" xfId="0" applyAlignment="1" applyFont="1" applyNumberFormat="1">
      <alignment horizontal="center" vertical="bottom"/>
    </xf>
    <xf borderId="0" fillId="0" fontId="1" numFmtId="167" xfId="0" applyAlignment="1" applyFont="1" applyNumberFormat="1">
      <alignment horizontal="center" vertical="bottom"/>
    </xf>
    <xf borderId="0" fillId="0" fontId="1" numFmtId="0" xfId="0" applyAlignment="1" applyFont="1">
      <alignment vertical="bottom"/>
    </xf>
    <xf borderId="0" fillId="0" fontId="1" numFmtId="13" xfId="0" applyAlignment="1" applyFont="1" applyNumberFormat="1">
      <alignment vertical="bottom"/>
    </xf>
    <xf borderId="0" fillId="0" fontId="1" numFmtId="49" xfId="0" applyAlignment="1" applyFont="1" applyNumberFormat="1">
      <alignment vertical="bottom"/>
    </xf>
    <xf borderId="0" fillId="0" fontId="1" numFmtId="10" xfId="0" applyAlignment="1" applyFont="1" applyNumberFormat="1">
      <alignment vertical="bottom"/>
    </xf>
    <xf borderId="0" fillId="0" fontId="1" numFmtId="13" xfId="0" applyAlignment="1" applyFont="1" applyNumberFormat="1">
      <alignment horizontal="center" readingOrder="0"/>
    </xf>
    <xf borderId="0" fillId="0" fontId="1" numFmtId="13" xfId="0" applyAlignment="1" applyFont="1" applyNumberFormat="1">
      <alignment horizontal="center"/>
    </xf>
    <xf borderId="0" fillId="0" fontId="3" numFmtId="49" xfId="0" applyFont="1" applyNumberFormat="1"/>
    <xf borderId="0" fillId="0" fontId="1" numFmtId="10" xfId="0" applyAlignment="1" applyFont="1" applyNumberFormat="1">
      <alignment horizontal="center"/>
    </xf>
    <xf borderId="0" fillId="0" fontId="4" numFmtId="0" xfId="0" applyFont="1"/>
    <xf borderId="0" fillId="0" fontId="5" numFmtId="0" xfId="0" applyFont="1"/>
    <xf borderId="0" fillId="0" fontId="6" numFmtId="0" xfId="0" applyFont="1"/>
    <xf borderId="0" fillId="0" fontId="5" numFmtId="17" xfId="0" applyFont="1" applyNumberFormat="1"/>
    <xf borderId="0" fillId="0" fontId="5" numFmtId="13" xfId="0" applyFont="1" applyNumberFormat="1"/>
    <xf borderId="0" fillId="0" fontId="7" numFmtId="12" xfId="0" applyAlignment="1" applyFont="1" applyNumberFormat="1">
      <alignment horizontal="center"/>
    </xf>
    <xf borderId="0" fillId="0" fontId="5" numFmtId="0" xfId="0" applyAlignment="1" applyFont="1">
      <alignment horizontal="center"/>
    </xf>
    <xf borderId="0" fillId="0" fontId="7" numFmtId="0" xfId="0" applyAlignment="1" applyFont="1">
      <alignment horizontal="center"/>
    </xf>
    <xf borderId="0" fillId="0" fontId="6" numFmtId="0" xfId="0" applyAlignment="1" applyFont="1">
      <alignment horizontal="center"/>
    </xf>
    <xf borderId="0" fillId="0" fontId="4" numFmtId="0" xfId="0" applyFont="1"/>
    <xf borderId="0" fillId="0" fontId="8" numFmtId="0" xfId="0" applyFont="1"/>
    <xf borderId="0" fillId="0" fontId="9" numFmtId="0" xfId="0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13</xdr:col>
      <xdr:colOff>0</xdr:colOff>
      <xdr:row>11</xdr:row>
      <xdr:rowOff>0</xdr:rowOff>
    </xdr:from>
    <xdr:ext cx="742950" cy="9525"/>
    <xdr:pic>
      <xdr:nvPicPr>
        <xdr:cNvPr descr="page21image20833280"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0</xdr:colOff>
      <xdr:row>11</xdr:row>
      <xdr:rowOff>0</xdr:rowOff>
    </xdr:from>
    <xdr:ext cx="742950" cy="0"/>
    <xdr:pic>
      <xdr:nvPicPr>
        <xdr:cNvPr descr="page21image20833088"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en.wikipedia.org/wiki/British_Standard_Whitworth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>
      <pane ySplit="7.0" topLeftCell="A8" activePane="bottomLeft" state="frozen"/>
      <selection activeCell="B9" sqref="B9" pane="bottomLeft"/>
    </sheetView>
  </sheetViews>
  <sheetFormatPr customHeight="1" defaultColWidth="11.22" defaultRowHeight="15.0"/>
  <cols>
    <col customWidth="1" min="1" max="28" width="11.0"/>
  </cols>
  <sheetData>
    <row r="1" ht="15.75" customHeight="1">
      <c r="A1" s="1" t="s">
        <v>0</v>
      </c>
      <c r="B1" s="1" t="s">
        <v>1</v>
      </c>
      <c r="D1" s="2" t="s">
        <v>2</v>
      </c>
      <c r="E1" s="3" t="s">
        <v>3</v>
      </c>
      <c r="F1" s="4" t="s">
        <v>4</v>
      </c>
      <c r="G1" s="1">
        <f>1/(2*tan(RADIANS(B3/2)))</f>
        <v>0.9604910635</v>
      </c>
      <c r="I1" s="1"/>
      <c r="J1" s="1"/>
      <c r="K1" s="1"/>
      <c r="L1" s="1"/>
      <c r="M1" s="1"/>
      <c r="N1" s="1"/>
      <c r="O1" s="1"/>
      <c r="P1" s="1"/>
      <c r="Q1" s="1"/>
    </row>
    <row r="2" ht="15.75" customHeight="1">
      <c r="A2" s="1" t="s">
        <v>5</v>
      </c>
      <c r="B2" s="1" t="s">
        <v>6</v>
      </c>
      <c r="D2" s="1"/>
      <c r="E2" s="3" t="s">
        <v>7</v>
      </c>
      <c r="F2" s="4" t="s">
        <v>8</v>
      </c>
      <c r="G2" s="1">
        <f>(2/3)*G1</f>
        <v>0.6403273757</v>
      </c>
      <c r="I2" s="1"/>
      <c r="J2" s="5"/>
      <c r="M2" s="1"/>
      <c r="N2" s="1"/>
      <c r="O2" s="1"/>
      <c r="P2" s="1"/>
      <c r="Q2" s="1"/>
    </row>
    <row r="3" ht="15.75" customHeight="1">
      <c r="A3" s="1" t="s">
        <v>9</v>
      </c>
      <c r="B3" s="1">
        <v>55.0</v>
      </c>
      <c r="D3" s="1"/>
      <c r="E3" s="3" t="s">
        <v>10</v>
      </c>
      <c r="F3" s="4" t="s">
        <v>11</v>
      </c>
      <c r="G3" s="1">
        <f>G2-(2*G1*SIN(RADIANS(B3/2))/6)</f>
        <v>0.4924922368</v>
      </c>
      <c r="I3" s="1"/>
      <c r="J3" s="1"/>
      <c r="K3" s="1"/>
      <c r="L3" s="1"/>
      <c r="M3" s="1"/>
      <c r="N3" s="1"/>
      <c r="O3" s="1"/>
      <c r="P3" s="1"/>
      <c r="Q3" s="1"/>
    </row>
    <row r="4" ht="15.75" customHeight="1">
      <c r="A4" s="1" t="s">
        <v>12</v>
      </c>
      <c r="B4" s="1">
        <v>19.0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P4" s="1"/>
      <c r="Q4" s="1"/>
    </row>
    <row r="5" ht="15.75" customHeight="1">
      <c r="A5" s="1" t="s">
        <v>13</v>
      </c>
      <c r="B5" s="1">
        <v>7.0</v>
      </c>
      <c r="C5" s="1"/>
      <c r="D5" s="1"/>
      <c r="E5" s="1"/>
      <c r="F5" s="1"/>
      <c r="G5" s="6"/>
      <c r="K5" s="1"/>
      <c r="L5" s="1"/>
      <c r="M5" s="1"/>
      <c r="N5" s="1"/>
      <c r="O5" s="1"/>
      <c r="P5" s="1"/>
      <c r="Q5" s="1"/>
    </row>
    <row r="6" ht="15.75" customHeight="1">
      <c r="A6" s="1"/>
      <c r="B6" s="1"/>
      <c r="C6" s="1"/>
      <c r="D6" s="1"/>
      <c r="E6" s="1"/>
      <c r="F6" s="1" t="s">
        <v>14</v>
      </c>
      <c r="K6" s="1" t="s">
        <v>15</v>
      </c>
      <c r="Q6" s="1"/>
    </row>
    <row r="7" ht="15.75" customHeight="1">
      <c r="A7" s="5" t="s">
        <v>16</v>
      </c>
      <c r="B7" s="1" t="s">
        <v>17</v>
      </c>
      <c r="C7" s="1" t="s">
        <v>18</v>
      </c>
      <c r="D7" s="1" t="s">
        <v>19</v>
      </c>
      <c r="E7" s="1" t="s">
        <v>20</v>
      </c>
      <c r="F7" s="1" t="s">
        <v>21</v>
      </c>
      <c r="G7" s="5" t="s">
        <v>22</v>
      </c>
      <c r="H7" s="1" t="s">
        <v>23</v>
      </c>
      <c r="I7" s="1" t="s">
        <v>24</v>
      </c>
      <c r="J7" s="1" t="s">
        <v>25</v>
      </c>
      <c r="K7" s="1" t="s">
        <v>21</v>
      </c>
      <c r="L7" s="5" t="s">
        <v>26</v>
      </c>
      <c r="M7" s="1" t="s">
        <v>23</v>
      </c>
      <c r="N7" s="1" t="s">
        <v>24</v>
      </c>
      <c r="O7" s="1" t="s">
        <v>25</v>
      </c>
      <c r="P7" s="5" t="s">
        <v>27</v>
      </c>
      <c r="Q7" s="5" t="s">
        <v>28</v>
      </c>
    </row>
    <row r="8" ht="15.75" customHeight="1">
      <c r="A8" s="7" t="s">
        <v>29</v>
      </c>
      <c r="B8" s="7">
        <f>1/16</f>
        <v>0.0625</v>
      </c>
      <c r="C8" s="8">
        <v>60.0</v>
      </c>
      <c r="D8" s="9" t="str">
        <f t="shared" ref="D8:D69" si="1">trim(Substitute(TEXT(B8, "# ??/??") &amp; " " &amp; A8, "  ", " "))</f>
        <v>1/16 BSW</v>
      </c>
      <c r="E8" s="9" t="str">
        <f t="shared" ref="E8:E69" si="2">trim(substitute(TEXT(B8, "# ??/??") &amp;" - "&amp;C8&amp;" " &amp; A8,"  ", " "))</f>
        <v>1/16 - 60 BSW</v>
      </c>
      <c r="F8" s="10" t="s">
        <v>30</v>
      </c>
      <c r="G8" s="11">
        <f t="shared" ref="G8:G69" si="3">(0.002 * (M8)^(1/3)) + (0.003 * (G$3/C8)^(1/2)) + (0.005 * (1/C8)^(1/2))</f>
        <v>0.001710995167</v>
      </c>
      <c r="H8" s="12">
        <f t="shared" ref="H8:H69" si="4">M8-(G8 + (0.01 * (1/C8)^(1/2)))</f>
        <v>0.05949801038</v>
      </c>
      <c r="I8" s="12">
        <f t="shared" ref="I8:I69" si="5">N8-G8</f>
        <v>0.05011688191</v>
      </c>
      <c r="J8" s="12">
        <f t="shared" ref="J8:J69" si="6">O8-(G8 + (0.02 * (1/C8)^(1/2)))</f>
        <v>0.03686277008</v>
      </c>
      <c r="K8" s="10" t="s">
        <v>30</v>
      </c>
      <c r="L8" s="13">
        <v>0.0</v>
      </c>
      <c r="M8" s="14">
        <f t="shared" ref="M8:M69" si="7">B8</f>
        <v>0.0625</v>
      </c>
      <c r="N8" s="14">
        <f t="shared" ref="N8:N69" si="8">M8-(G$2/C8)</f>
        <v>0.05182787707</v>
      </c>
      <c r="O8" s="14">
        <f t="shared" ref="O8:O69" si="9">M8-(2*G$2/C8)</f>
        <v>0.04115575414</v>
      </c>
      <c r="P8" s="14">
        <f t="shared" ref="P8:P69" si="10">M8-(1/C8)</f>
        <v>0.04583333333</v>
      </c>
      <c r="Q8" s="10">
        <f t="shared" ref="Q8:Q69" si="11">ROUND(CONVERT(P8,"in","mm")+0.01,1)</f>
        <v>1.2</v>
      </c>
      <c r="R8" s="15"/>
      <c r="S8" s="15"/>
      <c r="T8" s="16"/>
      <c r="U8" s="17"/>
      <c r="V8" s="18"/>
      <c r="W8" s="18"/>
      <c r="X8" s="15"/>
      <c r="Y8" s="15"/>
      <c r="Z8" s="15"/>
      <c r="AA8" s="15"/>
      <c r="AB8" s="15"/>
    </row>
    <row r="9" ht="15.75" customHeight="1">
      <c r="A9" s="19" t="s">
        <v>29</v>
      </c>
      <c r="B9" s="19">
        <f>3/32</f>
        <v>0.09375</v>
      </c>
      <c r="C9" s="5">
        <v>48.0</v>
      </c>
      <c r="D9" s="9" t="str">
        <f t="shared" si="1"/>
        <v>3/32 BSW</v>
      </c>
      <c r="E9" s="9" t="str">
        <f t="shared" si="2"/>
        <v>3/32 - 48 BSW</v>
      </c>
      <c r="F9" s="10" t="s">
        <v>30</v>
      </c>
      <c r="G9" s="11">
        <f t="shared" si="3"/>
        <v>0.001934126882</v>
      </c>
      <c r="H9" s="12">
        <f t="shared" si="4"/>
        <v>0.09037249744</v>
      </c>
      <c r="I9" s="12">
        <f t="shared" si="5"/>
        <v>0.07847571946</v>
      </c>
      <c r="J9" s="12">
        <f t="shared" si="6"/>
        <v>0.06224881445</v>
      </c>
      <c r="K9" s="10" t="s">
        <v>30</v>
      </c>
      <c r="L9" s="13">
        <v>0.0</v>
      </c>
      <c r="M9" s="14">
        <f t="shared" si="7"/>
        <v>0.09375</v>
      </c>
      <c r="N9" s="14">
        <f t="shared" si="8"/>
        <v>0.08040984634</v>
      </c>
      <c r="O9" s="14">
        <f t="shared" si="9"/>
        <v>0.06706969268</v>
      </c>
      <c r="P9" s="14">
        <f t="shared" si="10"/>
        <v>0.07291666667</v>
      </c>
      <c r="Q9" s="10">
        <f t="shared" si="11"/>
        <v>1.9</v>
      </c>
      <c r="T9" s="20"/>
      <c r="U9" s="21"/>
      <c r="V9" s="22"/>
      <c r="W9" s="22"/>
    </row>
    <row r="10" ht="15.75" customHeight="1">
      <c r="A10" s="19" t="s">
        <v>29</v>
      </c>
      <c r="B10" s="20">
        <v>0.125</v>
      </c>
      <c r="C10" s="1">
        <v>40.0</v>
      </c>
      <c r="D10" s="9" t="str">
        <f t="shared" si="1"/>
        <v>1/8 BSW</v>
      </c>
      <c r="E10" s="9" t="str">
        <f t="shared" si="2"/>
        <v>1/8 - 40 BSW</v>
      </c>
      <c r="F10" s="10" t="s">
        <v>30</v>
      </c>
      <c r="G10" s="11">
        <f t="shared" si="3"/>
        <v>0.002123451907</v>
      </c>
      <c r="H10" s="12">
        <f t="shared" si="4"/>
        <v>0.1212954093</v>
      </c>
      <c r="I10" s="12">
        <f t="shared" si="5"/>
        <v>0.1068683637</v>
      </c>
      <c r="J10" s="12">
        <f t="shared" si="6"/>
        <v>0.08769790165</v>
      </c>
      <c r="K10" s="10" t="s">
        <v>30</v>
      </c>
      <c r="L10" s="13">
        <v>0.0</v>
      </c>
      <c r="M10" s="14">
        <f t="shared" si="7"/>
        <v>0.125</v>
      </c>
      <c r="N10" s="14">
        <f t="shared" si="8"/>
        <v>0.1089918156</v>
      </c>
      <c r="O10" s="14">
        <f t="shared" si="9"/>
        <v>0.09298363122</v>
      </c>
      <c r="P10" s="14">
        <f t="shared" si="10"/>
        <v>0.1</v>
      </c>
      <c r="Q10" s="10">
        <f t="shared" si="11"/>
        <v>2.6</v>
      </c>
      <c r="T10" s="20"/>
      <c r="U10" s="21"/>
      <c r="V10" s="22"/>
      <c r="W10" s="22"/>
    </row>
    <row r="11" ht="15.75" customHeight="1">
      <c r="A11" s="19" t="s">
        <v>29</v>
      </c>
      <c r="B11" s="20">
        <v>0.1875</v>
      </c>
      <c r="C11" s="1">
        <v>24.0</v>
      </c>
      <c r="D11" s="9" t="str">
        <f t="shared" si="1"/>
        <v>3/16 BSW</v>
      </c>
      <c r="E11" s="9" t="str">
        <f t="shared" si="2"/>
        <v>3/16 - 24 BSW</v>
      </c>
      <c r="F11" s="10" t="s">
        <v>30</v>
      </c>
      <c r="G11" s="11">
        <f t="shared" si="3"/>
        <v>0.002595084418</v>
      </c>
      <c r="H11" s="12">
        <f t="shared" si="4"/>
        <v>0.1828636741</v>
      </c>
      <c r="I11" s="12">
        <f t="shared" si="5"/>
        <v>0.1582246083</v>
      </c>
      <c r="J11" s="12">
        <f t="shared" si="6"/>
        <v>0.127461818</v>
      </c>
      <c r="K11" s="10" t="s">
        <v>30</v>
      </c>
      <c r="L11" s="13">
        <v>0.0</v>
      </c>
      <c r="M11" s="14">
        <f t="shared" si="7"/>
        <v>0.1875</v>
      </c>
      <c r="N11" s="14">
        <f t="shared" si="8"/>
        <v>0.1608196927</v>
      </c>
      <c r="O11" s="14">
        <f t="shared" si="9"/>
        <v>0.1341393854</v>
      </c>
      <c r="P11" s="14">
        <f t="shared" si="10"/>
        <v>0.1458333333</v>
      </c>
      <c r="Q11" s="10">
        <f t="shared" si="11"/>
        <v>3.7</v>
      </c>
      <c r="T11" s="20"/>
      <c r="U11" s="21"/>
      <c r="V11" s="22"/>
      <c r="W11" s="22"/>
    </row>
    <row r="12" ht="15.75" customHeight="1">
      <c r="A12" s="19" t="s">
        <v>29</v>
      </c>
      <c r="B12" s="20">
        <v>0.25</v>
      </c>
      <c r="C12" s="1">
        <v>20.0</v>
      </c>
      <c r="D12" s="9" t="str">
        <f t="shared" si="1"/>
        <v>1/4 BSW</v>
      </c>
      <c r="E12" s="9" t="str">
        <f t="shared" si="2"/>
        <v>1/4 - 20 BSW</v>
      </c>
      <c r="F12" s="10" t="s">
        <v>30</v>
      </c>
      <c r="G12" s="11">
        <f t="shared" si="3"/>
        <v>0.002848721973</v>
      </c>
      <c r="H12" s="12">
        <f t="shared" si="4"/>
        <v>0.24491521</v>
      </c>
      <c r="I12" s="12">
        <f t="shared" si="5"/>
        <v>0.2151349092</v>
      </c>
      <c r="J12" s="12">
        <f t="shared" si="6"/>
        <v>0.1786464045</v>
      </c>
      <c r="K12" s="10" t="s">
        <v>30</v>
      </c>
      <c r="L12" s="13">
        <v>0.0</v>
      </c>
      <c r="M12" s="14">
        <f t="shared" si="7"/>
        <v>0.25</v>
      </c>
      <c r="N12" s="14">
        <f t="shared" si="8"/>
        <v>0.2179836312</v>
      </c>
      <c r="O12" s="14">
        <f t="shared" si="9"/>
        <v>0.1859672624</v>
      </c>
      <c r="P12" s="14">
        <f t="shared" si="10"/>
        <v>0.2</v>
      </c>
      <c r="Q12" s="10">
        <f t="shared" si="11"/>
        <v>5.1</v>
      </c>
      <c r="T12" s="20"/>
      <c r="U12" s="21"/>
      <c r="V12" s="22"/>
      <c r="W12" s="22"/>
    </row>
    <row r="13" ht="15.75" customHeight="1">
      <c r="A13" s="19" t="s">
        <v>29</v>
      </c>
      <c r="B13" s="20">
        <v>0.3125</v>
      </c>
      <c r="C13" s="1">
        <v>18.0</v>
      </c>
      <c r="D13" s="9" t="str">
        <f t="shared" si="1"/>
        <v>5/16 BSW</v>
      </c>
      <c r="E13" s="9" t="str">
        <f t="shared" si="2"/>
        <v>5/16 - 18 BSW</v>
      </c>
      <c r="F13" s="10" t="s">
        <v>30</v>
      </c>
      <c r="G13" s="11">
        <f t="shared" si="3"/>
        <v>0.00303195203</v>
      </c>
      <c r="H13" s="12">
        <f t="shared" si="4"/>
        <v>0.3071110254</v>
      </c>
      <c r="I13" s="12">
        <f t="shared" si="5"/>
        <v>0.2738943049</v>
      </c>
      <c r="J13" s="12">
        <f t="shared" si="6"/>
        <v>0.2336065166</v>
      </c>
      <c r="K13" s="10" t="s">
        <v>30</v>
      </c>
      <c r="L13" s="13">
        <v>0.0</v>
      </c>
      <c r="M13" s="14">
        <f t="shared" si="7"/>
        <v>0.3125</v>
      </c>
      <c r="N13" s="14">
        <f t="shared" si="8"/>
        <v>0.2769262569</v>
      </c>
      <c r="O13" s="14">
        <f t="shared" si="9"/>
        <v>0.2413525138</v>
      </c>
      <c r="P13" s="14">
        <f t="shared" si="10"/>
        <v>0.2569444444</v>
      </c>
      <c r="Q13" s="10">
        <f t="shared" si="11"/>
        <v>6.5</v>
      </c>
      <c r="T13" s="20"/>
      <c r="U13" s="21"/>
      <c r="V13" s="22"/>
      <c r="W13" s="22"/>
    </row>
    <row r="14" ht="15.75" customHeight="1">
      <c r="A14" s="19" t="s">
        <v>29</v>
      </c>
      <c r="B14" s="20">
        <v>0.375</v>
      </c>
      <c r="C14" s="1">
        <v>16.0</v>
      </c>
      <c r="D14" s="9" t="str">
        <f t="shared" si="1"/>
        <v>3/8 BSW</v>
      </c>
      <c r="E14" s="9" t="str">
        <f t="shared" si="2"/>
        <v>3/8 - 16 BSW</v>
      </c>
      <c r="F14" s="10" t="s">
        <v>30</v>
      </c>
      <c r="G14" s="11">
        <f t="shared" si="3"/>
        <v>0.003218583004</v>
      </c>
      <c r="H14" s="12">
        <f t="shared" si="4"/>
        <v>0.369281417</v>
      </c>
      <c r="I14" s="12">
        <f t="shared" si="5"/>
        <v>0.331760956</v>
      </c>
      <c r="J14" s="12">
        <f t="shared" si="6"/>
        <v>0.286740495</v>
      </c>
      <c r="K14" s="10" t="s">
        <v>30</v>
      </c>
      <c r="L14" s="13">
        <v>0.0</v>
      </c>
      <c r="M14" s="14">
        <f t="shared" si="7"/>
        <v>0.375</v>
      </c>
      <c r="N14" s="14">
        <f t="shared" si="8"/>
        <v>0.334979539</v>
      </c>
      <c r="O14" s="14">
        <f t="shared" si="9"/>
        <v>0.294959078</v>
      </c>
      <c r="P14" s="14">
        <f t="shared" si="10"/>
        <v>0.3125</v>
      </c>
      <c r="Q14" s="10">
        <f t="shared" si="11"/>
        <v>7.9</v>
      </c>
      <c r="T14" s="20"/>
      <c r="U14" s="21"/>
      <c r="V14" s="22"/>
      <c r="W14" s="22"/>
    </row>
    <row r="15" ht="15.75" customHeight="1">
      <c r="A15" s="19" t="s">
        <v>29</v>
      </c>
      <c r="B15" s="20">
        <v>0.4375</v>
      </c>
      <c r="C15" s="1">
        <v>14.0</v>
      </c>
      <c r="D15" s="9" t="str">
        <f t="shared" si="1"/>
        <v>7/16 BSW</v>
      </c>
      <c r="E15" s="9" t="str">
        <f t="shared" si="2"/>
        <v>7/16 - 14 BSW</v>
      </c>
      <c r="F15" s="10" t="s">
        <v>30</v>
      </c>
      <c r="G15" s="11">
        <f t="shared" si="3"/>
        <v>0.003417274804</v>
      </c>
      <c r="H15" s="12">
        <f t="shared" si="4"/>
        <v>0.4314101128</v>
      </c>
      <c r="I15" s="12">
        <f t="shared" si="5"/>
        <v>0.3883450555</v>
      </c>
      <c r="J15" s="12">
        <f t="shared" si="6"/>
        <v>0.337262161</v>
      </c>
      <c r="K15" s="10" t="s">
        <v>30</v>
      </c>
      <c r="L15" s="13">
        <v>0.0</v>
      </c>
      <c r="M15" s="14">
        <f t="shared" si="7"/>
        <v>0.4375</v>
      </c>
      <c r="N15" s="14">
        <f t="shared" si="8"/>
        <v>0.3917623303</v>
      </c>
      <c r="O15" s="14">
        <f t="shared" si="9"/>
        <v>0.3460246606</v>
      </c>
      <c r="P15" s="14">
        <f t="shared" si="10"/>
        <v>0.3660714286</v>
      </c>
      <c r="Q15" s="10">
        <f t="shared" si="11"/>
        <v>9.3</v>
      </c>
      <c r="T15" s="20"/>
      <c r="U15" s="21"/>
      <c r="V15" s="22"/>
      <c r="W15" s="22"/>
    </row>
    <row r="16" ht="15.75" customHeight="1">
      <c r="A16" s="19" t="s">
        <v>29</v>
      </c>
      <c r="B16" s="20">
        <v>0.5</v>
      </c>
      <c r="C16" s="1">
        <v>12.0</v>
      </c>
      <c r="D16" s="9" t="str">
        <f t="shared" si="1"/>
        <v>1/2 BSW</v>
      </c>
      <c r="E16" s="9" t="str">
        <f t="shared" si="2"/>
        <v>1/2 - 12 BSW</v>
      </c>
      <c r="F16" s="10" t="s">
        <v>30</v>
      </c>
      <c r="G16" s="11">
        <f t="shared" si="3"/>
        <v>0.003638534224</v>
      </c>
      <c r="H16" s="12">
        <f t="shared" si="4"/>
        <v>0.4934747144</v>
      </c>
      <c r="I16" s="12">
        <f t="shared" si="5"/>
        <v>0.4430008511</v>
      </c>
      <c r="J16" s="12">
        <f t="shared" si="6"/>
        <v>0.3838667338</v>
      </c>
      <c r="K16" s="10" t="s">
        <v>30</v>
      </c>
      <c r="L16" s="13">
        <v>0.0</v>
      </c>
      <c r="M16" s="14">
        <f t="shared" si="7"/>
        <v>0.5</v>
      </c>
      <c r="N16" s="14">
        <f t="shared" si="8"/>
        <v>0.4466393854</v>
      </c>
      <c r="O16" s="14">
        <f t="shared" si="9"/>
        <v>0.3932787707</v>
      </c>
      <c r="P16" s="14">
        <f t="shared" si="10"/>
        <v>0.4166666667</v>
      </c>
      <c r="Q16" s="10">
        <f t="shared" si="11"/>
        <v>10.6</v>
      </c>
      <c r="T16" s="20"/>
      <c r="U16" s="21"/>
      <c r="V16" s="22"/>
      <c r="W16" s="22"/>
    </row>
    <row r="17" ht="15.75" customHeight="1">
      <c r="A17" s="19" t="s">
        <v>29</v>
      </c>
      <c r="B17" s="20">
        <v>0.5625</v>
      </c>
      <c r="C17" s="1">
        <v>12.0</v>
      </c>
      <c r="D17" s="9" t="str">
        <f t="shared" si="1"/>
        <v>9/16 BSW</v>
      </c>
      <c r="E17" s="9" t="str">
        <f t="shared" si="2"/>
        <v>9/16 - 12 BSW</v>
      </c>
      <c r="F17" s="10" t="s">
        <v>30</v>
      </c>
      <c r="G17" s="11">
        <f t="shared" si="3"/>
        <v>0.003702096796</v>
      </c>
      <c r="H17" s="12">
        <f t="shared" si="4"/>
        <v>0.5559111519</v>
      </c>
      <c r="I17" s="12">
        <f t="shared" si="5"/>
        <v>0.5054372886</v>
      </c>
      <c r="J17" s="12">
        <f t="shared" si="6"/>
        <v>0.4463031712</v>
      </c>
      <c r="K17" s="10" t="s">
        <v>30</v>
      </c>
      <c r="L17" s="13">
        <v>0.0</v>
      </c>
      <c r="M17" s="14">
        <f t="shared" si="7"/>
        <v>0.5625</v>
      </c>
      <c r="N17" s="14">
        <f t="shared" si="8"/>
        <v>0.5091393854</v>
      </c>
      <c r="O17" s="14">
        <f t="shared" si="9"/>
        <v>0.4557787707</v>
      </c>
      <c r="P17" s="14">
        <f t="shared" si="10"/>
        <v>0.4791666667</v>
      </c>
      <c r="Q17" s="10">
        <f t="shared" si="11"/>
        <v>12.2</v>
      </c>
      <c r="T17" s="20"/>
      <c r="U17" s="21"/>
      <c r="V17" s="22"/>
      <c r="W17" s="22"/>
    </row>
    <row r="18" ht="15.75" customHeight="1">
      <c r="A18" s="19" t="s">
        <v>29</v>
      </c>
      <c r="B18" s="20">
        <v>0.625</v>
      </c>
      <c r="C18" s="1">
        <v>11.0</v>
      </c>
      <c r="D18" s="9" t="str">
        <f t="shared" si="1"/>
        <v>5/8 BSW</v>
      </c>
      <c r="E18" s="9" t="str">
        <f t="shared" si="2"/>
        <v>5/8 - 11 BSW</v>
      </c>
      <c r="F18" s="10" t="s">
        <v>30</v>
      </c>
      <c r="G18" s="11">
        <f t="shared" si="3"/>
        <v>0.003852314674</v>
      </c>
      <c r="H18" s="12">
        <f t="shared" si="4"/>
        <v>0.6181325719</v>
      </c>
      <c r="I18" s="12">
        <f t="shared" si="5"/>
        <v>0.5629361057</v>
      </c>
      <c r="J18" s="12">
        <f t="shared" si="6"/>
        <v>0.4986942992</v>
      </c>
      <c r="K18" s="10" t="s">
        <v>30</v>
      </c>
      <c r="L18" s="13">
        <v>0.0</v>
      </c>
      <c r="M18" s="14">
        <f t="shared" si="7"/>
        <v>0.625</v>
      </c>
      <c r="N18" s="14">
        <f t="shared" si="8"/>
        <v>0.5667884204</v>
      </c>
      <c r="O18" s="14">
        <f t="shared" si="9"/>
        <v>0.5085768408</v>
      </c>
      <c r="P18" s="14">
        <f t="shared" si="10"/>
        <v>0.5340909091</v>
      </c>
      <c r="Q18" s="10">
        <f t="shared" si="11"/>
        <v>13.6</v>
      </c>
      <c r="T18" s="20"/>
      <c r="U18" s="21"/>
      <c r="V18" s="22"/>
      <c r="W18" s="22"/>
    </row>
    <row r="19" ht="15.75" customHeight="1">
      <c r="A19" s="19" t="s">
        <v>29</v>
      </c>
      <c r="B19" s="20">
        <v>0.6875</v>
      </c>
      <c r="C19" s="1">
        <v>11.0</v>
      </c>
      <c r="D19" s="9" t="str">
        <f t="shared" si="1"/>
        <v>11/16 BSW</v>
      </c>
      <c r="E19" s="9" t="str">
        <f t="shared" si="2"/>
        <v>11/16 - 11 BSW</v>
      </c>
      <c r="F19" s="10" t="s">
        <v>30</v>
      </c>
      <c r="G19" s="11">
        <f t="shared" si="3"/>
        <v>0.003907512895</v>
      </c>
      <c r="H19" s="12">
        <f t="shared" si="4"/>
        <v>0.6805773737</v>
      </c>
      <c r="I19" s="12">
        <f t="shared" si="5"/>
        <v>0.6253809075</v>
      </c>
      <c r="J19" s="12">
        <f t="shared" si="6"/>
        <v>0.561139101</v>
      </c>
      <c r="K19" s="10" t="s">
        <v>30</v>
      </c>
      <c r="L19" s="13">
        <v>0.0</v>
      </c>
      <c r="M19" s="14">
        <f t="shared" si="7"/>
        <v>0.6875</v>
      </c>
      <c r="N19" s="14">
        <f t="shared" si="8"/>
        <v>0.6292884204</v>
      </c>
      <c r="O19" s="14">
        <f t="shared" si="9"/>
        <v>0.5710768408</v>
      </c>
      <c r="P19" s="14">
        <f t="shared" si="10"/>
        <v>0.5965909091</v>
      </c>
      <c r="Q19" s="10">
        <f t="shared" si="11"/>
        <v>15.2</v>
      </c>
      <c r="T19" s="20"/>
      <c r="U19" s="21"/>
      <c r="V19" s="22"/>
      <c r="W19" s="22"/>
    </row>
    <row r="20" ht="15.75" customHeight="1">
      <c r="A20" s="19" t="s">
        <v>29</v>
      </c>
      <c r="B20" s="20">
        <v>0.75</v>
      </c>
      <c r="C20" s="1">
        <v>10.0</v>
      </c>
      <c r="D20" s="9" t="str">
        <f t="shared" si="1"/>
        <v>3/4 BSW</v>
      </c>
      <c r="E20" s="9" t="str">
        <f t="shared" si="2"/>
        <v>3/4 - 10 BSW</v>
      </c>
      <c r="F20" s="10" t="s">
        <v>30</v>
      </c>
      <c r="G20" s="11">
        <f t="shared" si="3"/>
        <v>0.004064024406</v>
      </c>
      <c r="H20" s="12">
        <f t="shared" si="4"/>
        <v>0.7427736979</v>
      </c>
      <c r="I20" s="12">
        <f t="shared" si="5"/>
        <v>0.681903238</v>
      </c>
      <c r="J20" s="12">
        <f t="shared" si="6"/>
        <v>0.6115459451</v>
      </c>
      <c r="K20" s="10" t="s">
        <v>30</v>
      </c>
      <c r="L20" s="13">
        <v>0.0</v>
      </c>
      <c r="M20" s="14">
        <f t="shared" si="7"/>
        <v>0.75</v>
      </c>
      <c r="N20" s="14">
        <f t="shared" si="8"/>
        <v>0.6859672624</v>
      </c>
      <c r="O20" s="14">
        <f t="shared" si="9"/>
        <v>0.6219345249</v>
      </c>
      <c r="P20" s="14">
        <f t="shared" si="10"/>
        <v>0.65</v>
      </c>
      <c r="Q20" s="10">
        <f t="shared" si="11"/>
        <v>16.5</v>
      </c>
      <c r="T20" s="20"/>
      <c r="U20" s="21"/>
      <c r="V20" s="22"/>
      <c r="W20" s="22"/>
    </row>
    <row r="21" ht="15.75" customHeight="1">
      <c r="A21" s="19" t="s">
        <v>29</v>
      </c>
      <c r="B21" s="20">
        <v>0.875</v>
      </c>
      <c r="C21" s="1">
        <v>9.0</v>
      </c>
      <c r="D21" s="9" t="str">
        <f t="shared" si="1"/>
        <v>7/8 BSW</v>
      </c>
      <c r="E21" s="9" t="str">
        <f t="shared" si="2"/>
        <v>7/8 - 9 BSW</v>
      </c>
      <c r="F21" s="10" t="s">
        <v>30</v>
      </c>
      <c r="G21" s="11">
        <f t="shared" si="3"/>
        <v>0.004281375761</v>
      </c>
      <c r="H21" s="12">
        <f t="shared" si="4"/>
        <v>0.8673852909</v>
      </c>
      <c r="I21" s="12">
        <f t="shared" si="5"/>
        <v>0.7995711381</v>
      </c>
      <c r="J21" s="12">
        <f t="shared" si="6"/>
        <v>0.7217569852</v>
      </c>
      <c r="K21" s="10" t="s">
        <v>30</v>
      </c>
      <c r="L21" s="13">
        <v>0.0</v>
      </c>
      <c r="M21" s="14">
        <f t="shared" si="7"/>
        <v>0.875</v>
      </c>
      <c r="N21" s="14">
        <f t="shared" si="8"/>
        <v>0.8038525138</v>
      </c>
      <c r="O21" s="14">
        <f t="shared" si="9"/>
        <v>0.7327050276</v>
      </c>
      <c r="P21" s="14">
        <f t="shared" si="10"/>
        <v>0.7638888889</v>
      </c>
      <c r="Q21" s="10">
        <f t="shared" si="11"/>
        <v>19.4</v>
      </c>
      <c r="T21" s="20"/>
      <c r="U21" s="21"/>
      <c r="V21" s="22"/>
      <c r="W21" s="22"/>
    </row>
    <row r="22" ht="15.75" customHeight="1">
      <c r="A22" s="19" t="s">
        <v>29</v>
      </c>
      <c r="B22" s="20">
        <v>1.0</v>
      </c>
      <c r="C22" s="1">
        <v>8.0</v>
      </c>
      <c r="D22" s="9" t="str">
        <f t="shared" si="1"/>
        <v>1 BSW</v>
      </c>
      <c r="E22" s="9" t="str">
        <f t="shared" si="2"/>
        <v>1 - 8 BSW</v>
      </c>
      <c r="F22" s="10" t="s">
        <v>30</v>
      </c>
      <c r="G22" s="11">
        <f t="shared" si="3"/>
        <v>0.004512114833</v>
      </c>
      <c r="H22" s="12">
        <f t="shared" si="4"/>
        <v>0.9919523513</v>
      </c>
      <c r="I22" s="12">
        <f t="shared" si="5"/>
        <v>0.9154469632</v>
      </c>
      <c r="J22" s="12">
        <f t="shared" si="6"/>
        <v>0.8283349734</v>
      </c>
      <c r="K22" s="10" t="s">
        <v>30</v>
      </c>
      <c r="L22" s="13">
        <v>0.0</v>
      </c>
      <c r="M22" s="14">
        <f t="shared" si="7"/>
        <v>1</v>
      </c>
      <c r="N22" s="14">
        <f t="shared" si="8"/>
        <v>0.919959078</v>
      </c>
      <c r="O22" s="14">
        <f t="shared" si="9"/>
        <v>0.8399181561</v>
      </c>
      <c r="P22" s="14">
        <f t="shared" si="10"/>
        <v>0.875</v>
      </c>
      <c r="Q22" s="10">
        <f t="shared" si="11"/>
        <v>22.2</v>
      </c>
      <c r="T22" s="20"/>
      <c r="U22" s="21"/>
      <c r="V22" s="22"/>
      <c r="W22" s="22"/>
    </row>
    <row r="23" ht="15.75" customHeight="1">
      <c r="A23" s="19" t="s">
        <v>29</v>
      </c>
      <c r="B23" s="20">
        <v>1.125</v>
      </c>
      <c r="C23" s="1">
        <v>7.0</v>
      </c>
      <c r="D23" s="9" t="str">
        <f t="shared" si="1"/>
        <v>1 1/8 BSW</v>
      </c>
      <c r="E23" s="9" t="str">
        <f t="shared" si="2"/>
        <v>1 1/8 - 7 BSW</v>
      </c>
      <c r="F23" s="10" t="s">
        <v>30</v>
      </c>
      <c r="G23" s="11">
        <f t="shared" si="3"/>
        <v>0.004765647543</v>
      </c>
      <c r="H23" s="12">
        <f t="shared" si="4"/>
        <v>1.116454708</v>
      </c>
      <c r="I23" s="12">
        <f t="shared" si="5"/>
        <v>1.028759013</v>
      </c>
      <c r="J23" s="12">
        <f t="shared" si="6"/>
        <v>0.9297243842</v>
      </c>
      <c r="K23" s="10" t="s">
        <v>30</v>
      </c>
      <c r="L23" s="13">
        <v>0.0</v>
      </c>
      <c r="M23" s="14">
        <f t="shared" si="7"/>
        <v>1.125</v>
      </c>
      <c r="N23" s="14">
        <f t="shared" si="8"/>
        <v>1.033524661</v>
      </c>
      <c r="O23" s="14">
        <f t="shared" si="9"/>
        <v>0.9420493212</v>
      </c>
      <c r="P23" s="14">
        <f t="shared" si="10"/>
        <v>0.9821428571</v>
      </c>
      <c r="Q23" s="10">
        <f t="shared" si="11"/>
        <v>25</v>
      </c>
      <c r="T23" s="20"/>
      <c r="U23" s="21"/>
      <c r="V23" s="22"/>
      <c r="W23" s="22"/>
    </row>
    <row r="24" ht="15.75" customHeight="1">
      <c r="A24" s="19" t="s">
        <v>29</v>
      </c>
      <c r="B24" s="20">
        <v>1.25</v>
      </c>
      <c r="C24" s="1">
        <v>7.0</v>
      </c>
      <c r="D24" s="9" t="str">
        <f t="shared" si="1"/>
        <v>1 1/4 BSW</v>
      </c>
      <c r="E24" s="9" t="str">
        <f t="shared" si="2"/>
        <v>1 1/4 - 7 BSW</v>
      </c>
      <c r="F24" s="10" t="s">
        <v>30</v>
      </c>
      <c r="G24" s="11">
        <f t="shared" si="3"/>
        <v>0.00483999841</v>
      </c>
      <c r="H24" s="12">
        <f t="shared" si="4"/>
        <v>1.241380357</v>
      </c>
      <c r="I24" s="12">
        <f t="shared" si="5"/>
        <v>1.153684662</v>
      </c>
      <c r="J24" s="12">
        <f t="shared" si="6"/>
        <v>1.054650033</v>
      </c>
      <c r="K24" s="10" t="s">
        <v>30</v>
      </c>
      <c r="L24" s="13">
        <v>0.0</v>
      </c>
      <c r="M24" s="14">
        <f t="shared" si="7"/>
        <v>1.25</v>
      </c>
      <c r="N24" s="14">
        <f t="shared" si="8"/>
        <v>1.158524661</v>
      </c>
      <c r="O24" s="14">
        <f t="shared" si="9"/>
        <v>1.067049321</v>
      </c>
      <c r="P24" s="14">
        <f t="shared" si="10"/>
        <v>1.107142857</v>
      </c>
      <c r="Q24" s="10">
        <f t="shared" si="11"/>
        <v>28.1</v>
      </c>
      <c r="T24" s="20"/>
      <c r="U24" s="21"/>
      <c r="V24" s="22"/>
      <c r="W24" s="22"/>
    </row>
    <row r="25" ht="15.75" customHeight="1">
      <c r="A25" s="19" t="s">
        <v>29</v>
      </c>
      <c r="B25" s="20">
        <v>1.5</v>
      </c>
      <c r="C25" s="1">
        <v>6.0</v>
      </c>
      <c r="D25" s="9" t="str">
        <f t="shared" si="1"/>
        <v>1 1/2 BSW</v>
      </c>
      <c r="E25" s="9" t="str">
        <f t="shared" si="2"/>
        <v>1 1/2 - 6 BSW</v>
      </c>
      <c r="F25" s="10" t="s">
        <v>30</v>
      </c>
      <c r="G25" s="11">
        <f t="shared" si="3"/>
        <v>0.005190168835</v>
      </c>
      <c r="H25" s="12">
        <f t="shared" si="4"/>
        <v>1.490727348</v>
      </c>
      <c r="I25" s="12">
        <f t="shared" si="5"/>
        <v>1.388088602</v>
      </c>
      <c r="J25" s="12">
        <f t="shared" si="6"/>
        <v>1.273202407</v>
      </c>
      <c r="K25" s="10" t="s">
        <v>30</v>
      </c>
      <c r="L25" s="13">
        <v>0.0</v>
      </c>
      <c r="M25" s="14">
        <f t="shared" si="7"/>
        <v>1.5</v>
      </c>
      <c r="N25" s="14">
        <f t="shared" si="8"/>
        <v>1.393278771</v>
      </c>
      <c r="O25" s="14">
        <f t="shared" si="9"/>
        <v>1.286557541</v>
      </c>
      <c r="P25" s="14">
        <f t="shared" si="10"/>
        <v>1.333333333</v>
      </c>
      <c r="Q25" s="10">
        <f t="shared" si="11"/>
        <v>33.9</v>
      </c>
      <c r="T25" s="20"/>
      <c r="U25" s="21"/>
      <c r="V25" s="22"/>
      <c r="W25" s="22"/>
    </row>
    <row r="26" ht="15.75" customHeight="1">
      <c r="A26" s="19" t="s">
        <v>29</v>
      </c>
      <c r="B26" s="20">
        <v>1.75</v>
      </c>
      <c r="C26" s="1">
        <v>5.0</v>
      </c>
      <c r="D26" s="9" t="str">
        <f t="shared" si="1"/>
        <v>1 3/4 BSW</v>
      </c>
      <c r="E26" s="9" t="str">
        <f t="shared" si="2"/>
        <v>1 3/4 - 5 BSW</v>
      </c>
      <c r="F26" s="10" t="s">
        <v>30</v>
      </c>
      <c r="G26" s="11">
        <f t="shared" si="3"/>
        <v>0.005587744111</v>
      </c>
      <c r="H26" s="12">
        <f t="shared" si="4"/>
        <v>1.73994012</v>
      </c>
      <c r="I26" s="12">
        <f t="shared" si="5"/>
        <v>1.616346781</v>
      </c>
      <c r="J26" s="12">
        <f t="shared" si="6"/>
        <v>1.479337034</v>
      </c>
      <c r="K26" s="10" t="s">
        <v>30</v>
      </c>
      <c r="L26" s="13">
        <v>0.0</v>
      </c>
      <c r="M26" s="14">
        <f t="shared" si="7"/>
        <v>1.75</v>
      </c>
      <c r="N26" s="14">
        <f t="shared" si="8"/>
        <v>1.621934525</v>
      </c>
      <c r="O26" s="14">
        <f t="shared" si="9"/>
        <v>1.49386905</v>
      </c>
      <c r="P26" s="14">
        <f t="shared" si="10"/>
        <v>1.55</v>
      </c>
      <c r="Q26" s="10">
        <f t="shared" si="11"/>
        <v>39.4</v>
      </c>
      <c r="T26" s="20"/>
      <c r="U26" s="21"/>
      <c r="V26" s="22"/>
      <c r="W26" s="22"/>
    </row>
    <row r="27" ht="15.75" customHeight="1">
      <c r="A27" s="19" t="s">
        <v>29</v>
      </c>
      <c r="B27" s="20">
        <v>2.0</v>
      </c>
      <c r="C27" s="1">
        <v>4.5</v>
      </c>
      <c r="D27" s="9" t="str">
        <f t="shared" si="1"/>
        <v>2 BSW</v>
      </c>
      <c r="E27" s="9" t="str">
        <f t="shared" si="2"/>
        <v>2 - 4.5 BSW</v>
      </c>
      <c r="F27" s="10" t="s">
        <v>30</v>
      </c>
      <c r="G27" s="11">
        <f t="shared" si="3"/>
        <v>0.005869328544</v>
      </c>
      <c r="H27" s="12">
        <f t="shared" si="4"/>
        <v>1.989416626</v>
      </c>
      <c r="I27" s="12">
        <f t="shared" si="5"/>
        <v>1.851835699</v>
      </c>
      <c r="J27" s="12">
        <f t="shared" si="6"/>
        <v>1.700112636</v>
      </c>
      <c r="K27" s="10" t="s">
        <v>30</v>
      </c>
      <c r="L27" s="13">
        <v>0.0</v>
      </c>
      <c r="M27" s="14">
        <f t="shared" si="7"/>
        <v>2</v>
      </c>
      <c r="N27" s="14">
        <f t="shared" si="8"/>
        <v>1.857705028</v>
      </c>
      <c r="O27" s="14">
        <f t="shared" si="9"/>
        <v>1.715410055</v>
      </c>
      <c r="P27" s="14">
        <f t="shared" si="10"/>
        <v>1.777777778</v>
      </c>
      <c r="Q27" s="10">
        <f t="shared" si="11"/>
        <v>45.2</v>
      </c>
      <c r="T27" s="20"/>
      <c r="U27" s="21"/>
      <c r="V27" s="22"/>
      <c r="W27" s="22"/>
    </row>
    <row r="28" ht="15.75" customHeight="1">
      <c r="A28" s="19" t="s">
        <v>29</v>
      </c>
      <c r="B28" s="20">
        <v>2.25</v>
      </c>
      <c r="C28" s="1">
        <v>4.0</v>
      </c>
      <c r="D28" s="9" t="str">
        <f t="shared" si="1"/>
        <v>2 1/4 BSW</v>
      </c>
      <c r="E28" s="9" t="str">
        <f t="shared" si="2"/>
        <v>2 1/4 - 4 BSW</v>
      </c>
      <c r="F28" s="10" t="s">
        <v>30</v>
      </c>
      <c r="G28" s="11">
        <f t="shared" si="3"/>
        <v>0.006173408261</v>
      </c>
      <c r="H28" s="12">
        <f t="shared" si="4"/>
        <v>2.238826592</v>
      </c>
      <c r="I28" s="12">
        <f t="shared" si="5"/>
        <v>2.083744748</v>
      </c>
      <c r="J28" s="12">
        <f t="shared" si="6"/>
        <v>1.913662904</v>
      </c>
      <c r="K28" s="10" t="s">
        <v>30</v>
      </c>
      <c r="L28" s="13">
        <v>0.0</v>
      </c>
      <c r="M28" s="14">
        <f t="shared" si="7"/>
        <v>2.25</v>
      </c>
      <c r="N28" s="14">
        <f t="shared" si="8"/>
        <v>2.089918156</v>
      </c>
      <c r="O28" s="14">
        <f t="shared" si="9"/>
        <v>1.929836312</v>
      </c>
      <c r="P28" s="14">
        <f t="shared" si="10"/>
        <v>2</v>
      </c>
      <c r="Q28" s="10">
        <f t="shared" si="11"/>
        <v>50.8</v>
      </c>
      <c r="T28" s="20"/>
      <c r="U28" s="21"/>
      <c r="V28" s="22"/>
      <c r="W28" s="22"/>
    </row>
    <row r="29" ht="15.75" customHeight="1">
      <c r="A29" s="19" t="s">
        <v>29</v>
      </c>
      <c r="B29" s="20">
        <v>2.5</v>
      </c>
      <c r="C29" s="1">
        <v>4.0</v>
      </c>
      <c r="D29" s="9" t="str">
        <f t="shared" si="1"/>
        <v>2 1/2 BSW</v>
      </c>
      <c r="E29" s="9" t="str">
        <f t="shared" si="2"/>
        <v>2 1/2 - 4 BSW</v>
      </c>
      <c r="F29" s="10" t="s">
        <v>30</v>
      </c>
      <c r="G29" s="11">
        <f t="shared" si="3"/>
        <v>0.006267084484</v>
      </c>
      <c r="H29" s="12">
        <f t="shared" si="4"/>
        <v>2.488732916</v>
      </c>
      <c r="I29" s="12">
        <f t="shared" si="5"/>
        <v>2.333651072</v>
      </c>
      <c r="J29" s="12">
        <f t="shared" si="6"/>
        <v>2.163569228</v>
      </c>
      <c r="K29" s="10" t="s">
        <v>30</v>
      </c>
      <c r="L29" s="13">
        <v>0.0</v>
      </c>
      <c r="M29" s="14">
        <f t="shared" si="7"/>
        <v>2.5</v>
      </c>
      <c r="N29" s="14">
        <f t="shared" si="8"/>
        <v>2.339918156</v>
      </c>
      <c r="O29" s="14">
        <f t="shared" si="9"/>
        <v>2.179836312</v>
      </c>
      <c r="P29" s="14">
        <f t="shared" si="10"/>
        <v>2.25</v>
      </c>
      <c r="Q29" s="10">
        <f t="shared" si="11"/>
        <v>57.2</v>
      </c>
      <c r="T29" s="20"/>
      <c r="U29" s="21"/>
      <c r="V29" s="22"/>
      <c r="W29" s="22"/>
    </row>
    <row r="30" ht="15.75" customHeight="1">
      <c r="A30" s="19" t="s">
        <v>29</v>
      </c>
      <c r="B30" s="20">
        <v>2.75</v>
      </c>
      <c r="C30" s="1">
        <v>3.5</v>
      </c>
      <c r="D30" s="9" t="str">
        <f t="shared" si="1"/>
        <v>2 3/4 BSW</v>
      </c>
      <c r="E30" s="9" t="str">
        <f t="shared" si="2"/>
        <v>2 3/4 - 3.5 BSW</v>
      </c>
      <c r="F30" s="10" t="s">
        <v>30</v>
      </c>
      <c r="G30" s="11">
        <f t="shared" si="3"/>
        <v>0.006599999967</v>
      </c>
      <c r="H30" s="12">
        <f t="shared" si="4"/>
        <v>2.738054775</v>
      </c>
      <c r="I30" s="12">
        <f t="shared" si="5"/>
        <v>2.560449321</v>
      </c>
      <c r="J30" s="12">
        <f t="shared" si="6"/>
        <v>2.366808193</v>
      </c>
      <c r="K30" s="10" t="s">
        <v>30</v>
      </c>
      <c r="L30" s="13">
        <v>0.0</v>
      </c>
      <c r="M30" s="14">
        <f t="shared" si="7"/>
        <v>2.75</v>
      </c>
      <c r="N30" s="14">
        <f t="shared" si="8"/>
        <v>2.567049321</v>
      </c>
      <c r="O30" s="14">
        <f t="shared" si="9"/>
        <v>2.384098642</v>
      </c>
      <c r="P30" s="14">
        <f t="shared" si="10"/>
        <v>2.464285714</v>
      </c>
      <c r="Q30" s="10">
        <f t="shared" si="11"/>
        <v>62.6</v>
      </c>
      <c r="T30" s="20"/>
      <c r="U30" s="21"/>
      <c r="V30" s="22"/>
      <c r="W30" s="22"/>
    </row>
    <row r="31" ht="15.75" customHeight="1">
      <c r="A31" s="19" t="s">
        <v>29</v>
      </c>
      <c r="B31" s="20">
        <v>3.0</v>
      </c>
      <c r="C31" s="1">
        <v>3.5</v>
      </c>
      <c r="D31" s="9" t="str">
        <f t="shared" si="1"/>
        <v>3 BSW</v>
      </c>
      <c r="E31" s="9" t="str">
        <f t="shared" si="2"/>
        <v>3 - 3.5 BSW</v>
      </c>
      <c r="F31" s="10" t="s">
        <v>30</v>
      </c>
      <c r="G31" s="11">
        <f t="shared" si="3"/>
        <v>0.006682459776</v>
      </c>
      <c r="H31" s="12">
        <f t="shared" si="4"/>
        <v>2.987972315</v>
      </c>
      <c r="I31" s="12">
        <f t="shared" si="5"/>
        <v>2.810366861</v>
      </c>
      <c r="J31" s="12">
        <f t="shared" si="6"/>
        <v>2.616725733</v>
      </c>
      <c r="K31" s="10" t="s">
        <v>30</v>
      </c>
      <c r="L31" s="13">
        <v>0.0</v>
      </c>
      <c r="M31" s="14">
        <f t="shared" si="7"/>
        <v>3</v>
      </c>
      <c r="N31" s="14">
        <f t="shared" si="8"/>
        <v>2.817049321</v>
      </c>
      <c r="O31" s="14">
        <f t="shared" si="9"/>
        <v>2.634098642</v>
      </c>
      <c r="P31" s="14">
        <f t="shared" si="10"/>
        <v>2.714285714</v>
      </c>
      <c r="Q31" s="10">
        <f t="shared" si="11"/>
        <v>69</v>
      </c>
      <c r="T31" s="20"/>
      <c r="U31" s="21"/>
      <c r="V31" s="22"/>
      <c r="W31" s="22"/>
    </row>
    <row r="32" ht="15.75" customHeight="1">
      <c r="A32" s="19" t="s">
        <v>29</v>
      </c>
      <c r="B32" s="20">
        <v>3.25</v>
      </c>
      <c r="C32" s="1">
        <v>3.25</v>
      </c>
      <c r="D32" s="9" t="str">
        <f t="shared" si="1"/>
        <v>3 1/4 BSW</v>
      </c>
      <c r="E32" s="9" t="str">
        <f t="shared" si="2"/>
        <v>3 1/4 - 3.25 BSW</v>
      </c>
      <c r="F32" s="10" t="s">
        <v>30</v>
      </c>
      <c r="G32" s="11">
        <f t="shared" si="3"/>
        <v>0.006903826085</v>
      </c>
      <c r="H32" s="12">
        <f t="shared" si="4"/>
        <v>3.237549172</v>
      </c>
      <c r="I32" s="12">
        <f t="shared" si="5"/>
        <v>3.046072366</v>
      </c>
      <c r="J32" s="12">
        <f t="shared" si="6"/>
        <v>2.837954554</v>
      </c>
      <c r="K32" s="10" t="s">
        <v>30</v>
      </c>
      <c r="L32" s="13">
        <v>0.0</v>
      </c>
      <c r="M32" s="14">
        <f t="shared" si="7"/>
        <v>3.25</v>
      </c>
      <c r="N32" s="14">
        <f t="shared" si="8"/>
        <v>3.052976192</v>
      </c>
      <c r="O32" s="14">
        <f t="shared" si="9"/>
        <v>2.855952384</v>
      </c>
      <c r="P32" s="14">
        <f t="shared" si="10"/>
        <v>2.942307692</v>
      </c>
      <c r="Q32" s="10">
        <f t="shared" si="11"/>
        <v>74.7</v>
      </c>
      <c r="T32" s="20"/>
      <c r="U32" s="21"/>
      <c r="V32" s="22"/>
      <c r="W32" s="22"/>
    </row>
    <row r="33" ht="15.75" customHeight="1">
      <c r="A33" s="19" t="s">
        <v>29</v>
      </c>
      <c r="B33" s="20">
        <v>3.5</v>
      </c>
      <c r="C33" s="1">
        <v>3.25</v>
      </c>
      <c r="D33" s="9" t="str">
        <f t="shared" si="1"/>
        <v>3 1/2 BSW</v>
      </c>
      <c r="E33" s="9" t="str">
        <f t="shared" si="2"/>
        <v>3 1/2 - 3.25 BSW</v>
      </c>
      <c r="F33" s="10" t="s">
        <v>30</v>
      </c>
      <c r="G33" s="11">
        <f t="shared" si="3"/>
        <v>0.006977918988</v>
      </c>
      <c r="H33" s="12">
        <f t="shared" si="4"/>
        <v>3.487475079</v>
      </c>
      <c r="I33" s="12">
        <f t="shared" si="5"/>
        <v>3.295998273</v>
      </c>
      <c r="J33" s="12">
        <f t="shared" si="6"/>
        <v>3.087880461</v>
      </c>
      <c r="K33" s="10" t="s">
        <v>30</v>
      </c>
      <c r="L33" s="13">
        <v>0.0</v>
      </c>
      <c r="M33" s="14">
        <f t="shared" si="7"/>
        <v>3.5</v>
      </c>
      <c r="N33" s="14">
        <f t="shared" si="8"/>
        <v>3.302976192</v>
      </c>
      <c r="O33" s="14">
        <f t="shared" si="9"/>
        <v>3.105952384</v>
      </c>
      <c r="P33" s="14">
        <f t="shared" si="10"/>
        <v>3.192307692</v>
      </c>
      <c r="Q33" s="10">
        <f t="shared" si="11"/>
        <v>81.1</v>
      </c>
      <c r="T33" s="20"/>
      <c r="U33" s="21"/>
      <c r="V33" s="22"/>
      <c r="W33" s="22"/>
    </row>
    <row r="34" ht="15.75" customHeight="1">
      <c r="A34" s="19" t="s">
        <v>29</v>
      </c>
      <c r="B34" s="20">
        <v>3.75</v>
      </c>
      <c r="C34" s="1">
        <v>3.0</v>
      </c>
      <c r="D34" s="9" t="str">
        <f t="shared" si="1"/>
        <v>3 3/4 BSW</v>
      </c>
      <c r="E34" s="9" t="str">
        <f t="shared" si="2"/>
        <v>3 3/4 - 3 BSW</v>
      </c>
      <c r="F34" s="10" t="s">
        <v>30</v>
      </c>
      <c r="G34" s="11">
        <f t="shared" si="3"/>
        <v>0.00720949885</v>
      </c>
      <c r="H34" s="12">
        <f t="shared" si="4"/>
        <v>3.737016998</v>
      </c>
      <c r="I34" s="12">
        <f t="shared" si="5"/>
        <v>3.529348043</v>
      </c>
      <c r="J34" s="12">
        <f t="shared" si="6"/>
        <v>3.304358579</v>
      </c>
      <c r="K34" s="10" t="s">
        <v>30</v>
      </c>
      <c r="L34" s="13">
        <v>0.0</v>
      </c>
      <c r="M34" s="14">
        <f t="shared" si="7"/>
        <v>3.75</v>
      </c>
      <c r="N34" s="14">
        <f t="shared" si="8"/>
        <v>3.536557541</v>
      </c>
      <c r="O34" s="14">
        <f t="shared" si="9"/>
        <v>3.323115083</v>
      </c>
      <c r="P34" s="14">
        <f t="shared" si="10"/>
        <v>3.416666667</v>
      </c>
      <c r="Q34" s="10">
        <f t="shared" si="11"/>
        <v>86.8</v>
      </c>
      <c r="T34" s="20"/>
      <c r="U34" s="21"/>
      <c r="V34" s="22"/>
      <c r="W34" s="22"/>
    </row>
    <row r="35" ht="15.75" customHeight="1">
      <c r="A35" s="19" t="s">
        <v>29</v>
      </c>
      <c r="B35" s="20">
        <v>4.0</v>
      </c>
      <c r="C35" s="1">
        <v>3.0</v>
      </c>
      <c r="D35" s="9" t="str">
        <f t="shared" si="1"/>
        <v>4 BSW</v>
      </c>
      <c r="E35" s="9" t="str">
        <f t="shared" si="2"/>
        <v>4 - 3 BSW</v>
      </c>
      <c r="F35" s="10" t="s">
        <v>30</v>
      </c>
      <c r="G35" s="11">
        <f t="shared" si="3"/>
        <v>0.007277068448</v>
      </c>
      <c r="H35" s="12">
        <f t="shared" si="4"/>
        <v>3.986949429</v>
      </c>
      <c r="I35" s="12">
        <f t="shared" si="5"/>
        <v>3.779280473</v>
      </c>
      <c r="J35" s="12">
        <f t="shared" si="6"/>
        <v>3.554291009</v>
      </c>
      <c r="K35" s="10" t="s">
        <v>30</v>
      </c>
      <c r="L35" s="13">
        <v>0.0</v>
      </c>
      <c r="M35" s="14">
        <f t="shared" si="7"/>
        <v>4</v>
      </c>
      <c r="N35" s="14">
        <f t="shared" si="8"/>
        <v>3.786557541</v>
      </c>
      <c r="O35" s="14">
        <f t="shared" si="9"/>
        <v>3.573115083</v>
      </c>
      <c r="P35" s="14">
        <f t="shared" si="10"/>
        <v>3.666666667</v>
      </c>
      <c r="Q35" s="10">
        <f t="shared" si="11"/>
        <v>93.1</v>
      </c>
      <c r="T35" s="20"/>
      <c r="U35" s="21"/>
      <c r="V35" s="22"/>
      <c r="W35" s="22"/>
    </row>
    <row r="36" ht="15.75" customHeight="1">
      <c r="A36" s="19" t="s">
        <v>29</v>
      </c>
      <c r="B36" s="20">
        <v>4.5</v>
      </c>
      <c r="C36" s="1">
        <v>2.875</v>
      </c>
      <c r="D36" s="9" t="str">
        <f t="shared" si="1"/>
        <v>4 1/2 BSW</v>
      </c>
      <c r="E36" s="9" t="str">
        <f t="shared" si="2"/>
        <v>4 1/2 - 2.875 BSW</v>
      </c>
      <c r="F36" s="10" t="s">
        <v>30</v>
      </c>
      <c r="G36" s="11">
        <f t="shared" si="3"/>
        <v>0.007492424468</v>
      </c>
      <c r="H36" s="12">
        <f t="shared" si="4"/>
        <v>4.486609897</v>
      </c>
      <c r="I36" s="12">
        <f t="shared" si="5"/>
        <v>4.26978501</v>
      </c>
      <c r="J36" s="12">
        <f t="shared" si="6"/>
        <v>4.035267088</v>
      </c>
      <c r="K36" s="10" t="s">
        <v>30</v>
      </c>
      <c r="L36" s="13">
        <v>0.0</v>
      </c>
      <c r="M36" s="14">
        <f t="shared" si="7"/>
        <v>4.5</v>
      </c>
      <c r="N36" s="14">
        <f t="shared" si="8"/>
        <v>4.277277435</v>
      </c>
      <c r="O36" s="14">
        <f t="shared" si="9"/>
        <v>4.054554869</v>
      </c>
      <c r="P36" s="14">
        <f t="shared" si="10"/>
        <v>4.152173913</v>
      </c>
      <c r="Q36" s="10">
        <f t="shared" si="11"/>
        <v>105.5</v>
      </c>
      <c r="T36" s="20"/>
      <c r="U36" s="21"/>
      <c r="V36" s="22"/>
      <c r="W36" s="22"/>
    </row>
    <row r="37" ht="15.75" customHeight="1">
      <c r="A37" s="19" t="s">
        <v>29</v>
      </c>
      <c r="B37" s="20">
        <v>5.0</v>
      </c>
      <c r="C37" s="1">
        <v>2.75</v>
      </c>
      <c r="D37" s="9" t="str">
        <f t="shared" si="1"/>
        <v>5 BSW</v>
      </c>
      <c r="E37" s="9" t="str">
        <f t="shared" si="2"/>
        <v>5 - 2.75 BSW</v>
      </c>
      <c r="F37" s="10" t="s">
        <v>30</v>
      </c>
      <c r="G37" s="11">
        <f t="shared" si="3"/>
        <v>0.007704629349</v>
      </c>
      <c r="H37" s="12">
        <f t="shared" si="4"/>
        <v>4.986265144</v>
      </c>
      <c r="I37" s="12">
        <f t="shared" si="5"/>
        <v>4.759449052</v>
      </c>
      <c r="J37" s="12">
        <f t="shared" si="6"/>
        <v>4.51454228</v>
      </c>
      <c r="K37" s="10" t="s">
        <v>30</v>
      </c>
      <c r="L37" s="13">
        <v>0.0</v>
      </c>
      <c r="M37" s="14">
        <f t="shared" si="7"/>
        <v>5</v>
      </c>
      <c r="N37" s="14">
        <f t="shared" si="8"/>
        <v>4.767153682</v>
      </c>
      <c r="O37" s="14">
        <f t="shared" si="9"/>
        <v>4.534307363</v>
      </c>
      <c r="P37" s="14">
        <f t="shared" si="10"/>
        <v>4.636363636</v>
      </c>
      <c r="Q37" s="10">
        <f t="shared" si="11"/>
        <v>117.8</v>
      </c>
      <c r="T37" s="20"/>
      <c r="U37" s="21"/>
      <c r="V37" s="22"/>
      <c r="W37" s="22"/>
    </row>
    <row r="38" ht="15.75" customHeight="1">
      <c r="A38" s="19" t="s">
        <v>29</v>
      </c>
      <c r="B38" s="20">
        <v>5.5</v>
      </c>
      <c r="C38" s="1">
        <v>2.625</v>
      </c>
      <c r="D38" s="9" t="str">
        <f t="shared" si="1"/>
        <v>5 1/2 BSW</v>
      </c>
      <c r="E38" s="9" t="str">
        <f t="shared" si="2"/>
        <v>5 1/2 - 2.625 BSW</v>
      </c>
      <c r="F38" s="10" t="s">
        <v>30</v>
      </c>
      <c r="G38" s="11">
        <f t="shared" si="3"/>
        <v>0.007915855526</v>
      </c>
      <c r="H38" s="12">
        <f t="shared" si="4"/>
        <v>5.48591201</v>
      </c>
      <c r="I38" s="12">
        <f t="shared" si="5"/>
        <v>5.248149906</v>
      </c>
      <c r="J38" s="12">
        <f t="shared" si="6"/>
        <v>4.9918714</v>
      </c>
      <c r="K38" s="10" t="s">
        <v>30</v>
      </c>
      <c r="L38" s="13">
        <v>0.0</v>
      </c>
      <c r="M38" s="14">
        <f t="shared" si="7"/>
        <v>5.5</v>
      </c>
      <c r="N38" s="14">
        <f t="shared" si="8"/>
        <v>5.256065762</v>
      </c>
      <c r="O38" s="14">
        <f t="shared" si="9"/>
        <v>5.012131523</v>
      </c>
      <c r="P38" s="14">
        <f t="shared" si="10"/>
        <v>5.119047619</v>
      </c>
      <c r="Q38" s="10">
        <f t="shared" si="11"/>
        <v>130</v>
      </c>
      <c r="T38" s="20"/>
      <c r="U38" s="21"/>
      <c r="V38" s="22"/>
      <c r="W38" s="22"/>
    </row>
    <row r="39" ht="15.75" customHeight="1">
      <c r="A39" s="19" t="s">
        <v>29</v>
      </c>
      <c r="B39" s="20">
        <v>6.0</v>
      </c>
      <c r="C39" s="1">
        <v>2.5</v>
      </c>
      <c r="D39" s="9" t="str">
        <f t="shared" si="1"/>
        <v>6 BSW</v>
      </c>
      <c r="E39" s="9" t="str">
        <f t="shared" si="2"/>
        <v>6 - 2.5 BSW</v>
      </c>
      <c r="F39" s="10" t="s">
        <v>30</v>
      </c>
      <c r="G39" s="11">
        <f t="shared" si="3"/>
        <v>0.008128048813</v>
      </c>
      <c r="H39" s="12">
        <f t="shared" si="4"/>
        <v>5.985547396</v>
      </c>
      <c r="I39" s="12">
        <f t="shared" si="5"/>
        <v>5.735741001</v>
      </c>
      <c r="J39" s="12">
        <f t="shared" si="6"/>
        <v>5.46696094</v>
      </c>
      <c r="K39" s="10" t="s">
        <v>30</v>
      </c>
      <c r="L39" s="13">
        <v>0.0</v>
      </c>
      <c r="M39" s="14">
        <f t="shared" si="7"/>
        <v>6</v>
      </c>
      <c r="N39" s="14">
        <f t="shared" si="8"/>
        <v>5.74386905</v>
      </c>
      <c r="O39" s="14">
        <f t="shared" si="9"/>
        <v>5.487738099</v>
      </c>
      <c r="P39" s="14">
        <f t="shared" si="10"/>
        <v>5.6</v>
      </c>
      <c r="Q39" s="10">
        <f t="shared" si="11"/>
        <v>142.3</v>
      </c>
      <c r="T39" s="20"/>
      <c r="U39" s="21"/>
      <c r="V39" s="22"/>
      <c r="W39" s="22"/>
    </row>
    <row r="40" ht="15.75" customHeight="1">
      <c r="A40" s="5" t="s">
        <v>31</v>
      </c>
      <c r="B40" s="20">
        <v>0.1875</v>
      </c>
      <c r="C40" s="5">
        <v>32.0</v>
      </c>
      <c r="D40" s="9" t="str">
        <f t="shared" si="1"/>
        <v>3/16 BSF</v>
      </c>
      <c r="E40" s="9" t="str">
        <f t="shared" si="2"/>
        <v>3/16 - 32 BSF</v>
      </c>
      <c r="F40" s="10" t="s">
        <v>30</v>
      </c>
      <c r="G40" s="11">
        <f t="shared" si="3"/>
        <v>0.002400771659</v>
      </c>
      <c r="H40" s="12">
        <f t="shared" si="4"/>
        <v>0.1833314614</v>
      </c>
      <c r="I40" s="12">
        <f t="shared" si="5"/>
        <v>0.1650889979</v>
      </c>
      <c r="J40" s="12">
        <f t="shared" si="6"/>
        <v>0.1415432335</v>
      </c>
      <c r="K40" s="10" t="s">
        <v>30</v>
      </c>
      <c r="L40" s="13">
        <v>0.0</v>
      </c>
      <c r="M40" s="14">
        <f t="shared" si="7"/>
        <v>0.1875</v>
      </c>
      <c r="N40" s="14">
        <f t="shared" si="8"/>
        <v>0.1674897695</v>
      </c>
      <c r="O40" s="14">
        <f t="shared" si="9"/>
        <v>0.147479539</v>
      </c>
      <c r="P40" s="14">
        <f t="shared" si="10"/>
        <v>0.15625</v>
      </c>
      <c r="Q40" s="10">
        <f t="shared" si="11"/>
        <v>4</v>
      </c>
      <c r="R40" s="23"/>
      <c r="S40" s="23"/>
      <c r="T40" s="23"/>
      <c r="U40" s="23"/>
      <c r="V40" s="23"/>
      <c r="W40" s="23"/>
    </row>
    <row r="41" ht="15.75" customHeight="1">
      <c r="A41" s="5" t="s">
        <v>31</v>
      </c>
      <c r="B41" s="20">
        <v>0.2188</v>
      </c>
      <c r="C41" s="5">
        <v>28.0</v>
      </c>
      <c r="D41" s="9" t="str">
        <f t="shared" si="1"/>
        <v>7/32 BSF</v>
      </c>
      <c r="E41" s="9" t="str">
        <f t="shared" si="2"/>
        <v>7/32 - 28 BSF</v>
      </c>
      <c r="F41" s="10" t="s">
        <v>30</v>
      </c>
      <c r="G41" s="11">
        <f t="shared" si="3"/>
        <v>0.0025479448</v>
      </c>
      <c r="H41" s="12">
        <f t="shared" si="4"/>
        <v>0.2143622328</v>
      </c>
      <c r="I41" s="12">
        <f t="shared" si="5"/>
        <v>0.1933832204</v>
      </c>
      <c r="J41" s="12">
        <f t="shared" si="6"/>
        <v>0.1667347408</v>
      </c>
      <c r="K41" s="10" t="s">
        <v>30</v>
      </c>
      <c r="L41" s="13">
        <v>0.0</v>
      </c>
      <c r="M41" s="14">
        <f t="shared" si="7"/>
        <v>0.2188</v>
      </c>
      <c r="N41" s="14">
        <f t="shared" si="8"/>
        <v>0.1959311652</v>
      </c>
      <c r="O41" s="14">
        <f t="shared" si="9"/>
        <v>0.1730623303</v>
      </c>
      <c r="P41" s="14">
        <f t="shared" si="10"/>
        <v>0.1830857143</v>
      </c>
      <c r="Q41" s="10">
        <f t="shared" si="11"/>
        <v>4.7</v>
      </c>
      <c r="R41" s="23"/>
    </row>
    <row r="42" ht="15.75" customHeight="1">
      <c r="A42" s="5" t="s">
        <v>31</v>
      </c>
      <c r="B42" s="20">
        <v>0.25</v>
      </c>
      <c r="C42" s="5">
        <v>26.0</v>
      </c>
      <c r="D42" s="9" t="str">
        <f t="shared" si="1"/>
        <v>1/4 BSF</v>
      </c>
      <c r="E42" s="9" t="str">
        <f t="shared" si="2"/>
        <v>1/4 - 26 BSF</v>
      </c>
      <c r="F42" s="10" t="s">
        <v>30</v>
      </c>
      <c r="G42" s="11">
        <f t="shared" si="3"/>
        <v>0.002653391641</v>
      </c>
      <c r="H42" s="12">
        <f t="shared" si="4"/>
        <v>0.245385447</v>
      </c>
      <c r="I42" s="12">
        <f t="shared" si="5"/>
        <v>0.2227186324</v>
      </c>
      <c r="J42" s="12">
        <f t="shared" si="6"/>
        <v>0.1941683337</v>
      </c>
      <c r="K42" s="10" t="s">
        <v>30</v>
      </c>
      <c r="L42" s="13">
        <v>0.0</v>
      </c>
      <c r="M42" s="14">
        <f t="shared" si="7"/>
        <v>0.25</v>
      </c>
      <c r="N42" s="14">
        <f t="shared" si="8"/>
        <v>0.225372024</v>
      </c>
      <c r="O42" s="14">
        <f t="shared" si="9"/>
        <v>0.200744048</v>
      </c>
      <c r="P42" s="14">
        <f t="shared" si="10"/>
        <v>0.2115384615</v>
      </c>
      <c r="Q42" s="10">
        <f t="shared" si="11"/>
        <v>5.4</v>
      </c>
    </row>
    <row r="43" ht="15.75" customHeight="1">
      <c r="A43" s="5" t="s">
        <v>31</v>
      </c>
      <c r="B43" s="20">
        <v>0.2812</v>
      </c>
      <c r="C43" s="5">
        <v>26.0</v>
      </c>
      <c r="D43" s="9" t="str">
        <f t="shared" si="1"/>
        <v>9/32 BSF</v>
      </c>
      <c r="E43" s="9" t="str">
        <f t="shared" si="2"/>
        <v>9/32 - 26 BSF</v>
      </c>
      <c r="F43" s="10" t="s">
        <v>30</v>
      </c>
      <c r="G43" s="11">
        <f t="shared" si="3"/>
        <v>0.002703763632</v>
      </c>
      <c r="H43" s="12">
        <f t="shared" si="4"/>
        <v>0.276535075</v>
      </c>
      <c r="I43" s="12">
        <f t="shared" si="5"/>
        <v>0.2538682604</v>
      </c>
      <c r="J43" s="12">
        <f t="shared" si="6"/>
        <v>0.2253179617</v>
      </c>
      <c r="K43" s="10" t="s">
        <v>30</v>
      </c>
      <c r="L43" s="13">
        <v>0.0</v>
      </c>
      <c r="M43" s="14">
        <f t="shared" si="7"/>
        <v>0.2812</v>
      </c>
      <c r="N43" s="14">
        <f t="shared" si="8"/>
        <v>0.256572024</v>
      </c>
      <c r="O43" s="14">
        <f t="shared" si="9"/>
        <v>0.231944048</v>
      </c>
      <c r="P43" s="14">
        <f t="shared" si="10"/>
        <v>0.2427384615</v>
      </c>
      <c r="Q43" s="10">
        <f t="shared" si="11"/>
        <v>6.2</v>
      </c>
      <c r="R43" s="23"/>
    </row>
    <row r="44" ht="15.75" customHeight="1">
      <c r="A44" s="5" t="s">
        <v>31</v>
      </c>
      <c r="B44" s="20">
        <v>0.3125</v>
      </c>
      <c r="C44" s="5">
        <v>22.0</v>
      </c>
      <c r="D44" s="9" t="str">
        <f t="shared" si="1"/>
        <v>5/16 BSF</v>
      </c>
      <c r="E44" s="9" t="str">
        <f t="shared" si="2"/>
        <v>5/16 - 22 BSF</v>
      </c>
      <c r="F44" s="10" t="s">
        <v>30</v>
      </c>
      <c r="G44" s="11">
        <f t="shared" si="3"/>
        <v>0.00287207105</v>
      </c>
      <c r="H44" s="12">
        <f t="shared" si="4"/>
        <v>0.3074959218</v>
      </c>
      <c r="I44" s="12">
        <f t="shared" si="5"/>
        <v>0.2805221391</v>
      </c>
      <c r="J44" s="12">
        <f t="shared" si="6"/>
        <v>0.247152335</v>
      </c>
      <c r="K44" s="10" t="s">
        <v>30</v>
      </c>
      <c r="L44" s="13">
        <v>0.0</v>
      </c>
      <c r="M44" s="14">
        <f t="shared" si="7"/>
        <v>0.3125</v>
      </c>
      <c r="N44" s="14">
        <f t="shared" si="8"/>
        <v>0.2833942102</v>
      </c>
      <c r="O44" s="14">
        <f t="shared" si="9"/>
        <v>0.2542884204</v>
      </c>
      <c r="P44" s="14">
        <f t="shared" si="10"/>
        <v>0.2670454545</v>
      </c>
      <c r="Q44" s="10">
        <f t="shared" si="11"/>
        <v>6.8</v>
      </c>
    </row>
    <row r="45" ht="15.75" customHeight="1">
      <c r="A45" s="5" t="s">
        <v>31</v>
      </c>
      <c r="B45" s="20">
        <v>0.375</v>
      </c>
      <c r="C45" s="5">
        <v>20.0</v>
      </c>
      <c r="D45" s="9" t="str">
        <f t="shared" si="1"/>
        <v>3/8 BSF</v>
      </c>
      <c r="E45" s="9" t="str">
        <f t="shared" si="2"/>
        <v>3/8 - 20 BSF</v>
      </c>
      <c r="F45" s="10" t="s">
        <v>30</v>
      </c>
      <c r="G45" s="11">
        <f t="shared" si="3"/>
        <v>0.003031050493</v>
      </c>
      <c r="H45" s="12">
        <f t="shared" si="4"/>
        <v>0.3697328815</v>
      </c>
      <c r="I45" s="12">
        <f t="shared" si="5"/>
        <v>0.3399525807</v>
      </c>
      <c r="J45" s="12">
        <f t="shared" si="6"/>
        <v>0.303464076</v>
      </c>
      <c r="K45" s="10" t="s">
        <v>30</v>
      </c>
      <c r="L45" s="13">
        <v>0.0</v>
      </c>
      <c r="M45" s="14">
        <f t="shared" si="7"/>
        <v>0.375</v>
      </c>
      <c r="N45" s="14">
        <f t="shared" si="8"/>
        <v>0.3429836312</v>
      </c>
      <c r="O45" s="14">
        <f t="shared" si="9"/>
        <v>0.3109672624</v>
      </c>
      <c r="P45" s="14">
        <f t="shared" si="10"/>
        <v>0.325</v>
      </c>
      <c r="Q45" s="10">
        <f t="shared" si="11"/>
        <v>8.3</v>
      </c>
    </row>
    <row r="46" ht="15.75" customHeight="1">
      <c r="A46" s="5" t="s">
        <v>31</v>
      </c>
      <c r="B46" s="20">
        <v>0.4375</v>
      </c>
      <c r="C46" s="5">
        <v>18.0</v>
      </c>
      <c r="D46" s="9" t="str">
        <f t="shared" si="1"/>
        <v>7/16 BSF</v>
      </c>
      <c r="E46" s="9" t="str">
        <f t="shared" si="2"/>
        <v>7/16 - 18 BSF</v>
      </c>
      <c r="F46" s="10" t="s">
        <v>30</v>
      </c>
      <c r="G46" s="11">
        <f t="shared" si="3"/>
        <v>0.003193037708</v>
      </c>
      <c r="H46" s="12">
        <f t="shared" si="4"/>
        <v>0.4319499397</v>
      </c>
      <c r="I46" s="12">
        <f t="shared" si="5"/>
        <v>0.3987332192</v>
      </c>
      <c r="J46" s="12">
        <f t="shared" si="6"/>
        <v>0.3584454309</v>
      </c>
      <c r="K46" s="10" t="s">
        <v>30</v>
      </c>
      <c r="L46" s="13">
        <v>0.0</v>
      </c>
      <c r="M46" s="14">
        <f t="shared" si="7"/>
        <v>0.4375</v>
      </c>
      <c r="N46" s="14">
        <f t="shared" si="8"/>
        <v>0.4019262569</v>
      </c>
      <c r="O46" s="14">
        <f t="shared" si="9"/>
        <v>0.3663525138</v>
      </c>
      <c r="P46" s="14">
        <f t="shared" si="10"/>
        <v>0.3819444444</v>
      </c>
      <c r="Q46" s="10">
        <f t="shared" si="11"/>
        <v>9.7</v>
      </c>
    </row>
    <row r="47" ht="15.75" customHeight="1">
      <c r="A47" s="5" t="s">
        <v>31</v>
      </c>
      <c r="B47" s="20">
        <v>0.5</v>
      </c>
      <c r="C47" s="5">
        <v>16.0</v>
      </c>
      <c r="D47" s="9" t="str">
        <f t="shared" si="1"/>
        <v>1/2 BSF</v>
      </c>
      <c r="E47" s="9" t="str">
        <f t="shared" si="2"/>
        <v>1/2 - 16 BSF</v>
      </c>
      <c r="F47" s="10" t="s">
        <v>30</v>
      </c>
      <c r="G47" s="11">
        <f t="shared" si="3"/>
        <v>0.003363734485</v>
      </c>
      <c r="H47" s="12">
        <f t="shared" si="4"/>
        <v>0.4941362655</v>
      </c>
      <c r="I47" s="12">
        <f t="shared" si="5"/>
        <v>0.4566158045</v>
      </c>
      <c r="J47" s="12">
        <f t="shared" si="6"/>
        <v>0.4115953436</v>
      </c>
      <c r="K47" s="10" t="s">
        <v>30</v>
      </c>
      <c r="L47" s="13">
        <v>0.0</v>
      </c>
      <c r="M47" s="14">
        <f t="shared" si="7"/>
        <v>0.5</v>
      </c>
      <c r="N47" s="14">
        <f t="shared" si="8"/>
        <v>0.459979539</v>
      </c>
      <c r="O47" s="14">
        <f t="shared" si="9"/>
        <v>0.419959078</v>
      </c>
      <c r="P47" s="14">
        <f t="shared" si="10"/>
        <v>0.4375</v>
      </c>
      <c r="Q47" s="10">
        <f t="shared" si="11"/>
        <v>11.1</v>
      </c>
      <c r="R47" s="24"/>
      <c r="S47" s="24"/>
      <c r="T47" s="24"/>
      <c r="U47" s="25"/>
      <c r="V47" s="24"/>
      <c r="W47" s="24"/>
      <c r="X47" s="24"/>
    </row>
    <row r="48" ht="15.75" customHeight="1">
      <c r="A48" s="5" t="s">
        <v>31</v>
      </c>
      <c r="B48" s="20">
        <v>0.5625</v>
      </c>
      <c r="C48" s="5">
        <v>16.0</v>
      </c>
      <c r="D48" s="9" t="str">
        <f t="shared" si="1"/>
        <v>9/16 BSF</v>
      </c>
      <c r="E48" s="9" t="str">
        <f t="shared" si="2"/>
        <v>9/16 - 16 BSF</v>
      </c>
      <c r="F48" s="10" t="s">
        <v>30</v>
      </c>
      <c r="G48" s="11">
        <f t="shared" si="3"/>
        <v>0.003427297058</v>
      </c>
      <c r="H48" s="12">
        <f t="shared" si="4"/>
        <v>0.5565727029</v>
      </c>
      <c r="I48" s="12">
        <f t="shared" si="5"/>
        <v>0.519052242</v>
      </c>
      <c r="J48" s="12">
        <f t="shared" si="6"/>
        <v>0.474031781</v>
      </c>
      <c r="K48" s="10" t="s">
        <v>30</v>
      </c>
      <c r="L48" s="13">
        <v>0.0</v>
      </c>
      <c r="M48" s="14">
        <f t="shared" si="7"/>
        <v>0.5625</v>
      </c>
      <c r="N48" s="14">
        <f t="shared" si="8"/>
        <v>0.522479539</v>
      </c>
      <c r="O48" s="14">
        <f t="shared" si="9"/>
        <v>0.482459078</v>
      </c>
      <c r="P48" s="14">
        <f t="shared" si="10"/>
        <v>0.5</v>
      </c>
      <c r="Q48" s="10">
        <f t="shared" si="11"/>
        <v>12.7</v>
      </c>
      <c r="R48" s="24"/>
      <c r="S48" s="24"/>
      <c r="T48" s="24"/>
      <c r="U48" s="26"/>
      <c r="V48" s="24"/>
      <c r="W48" s="24"/>
      <c r="X48" s="24"/>
    </row>
    <row r="49" ht="15.75" customHeight="1">
      <c r="A49" s="5" t="s">
        <v>31</v>
      </c>
      <c r="B49" s="20">
        <v>0.625</v>
      </c>
      <c r="C49" s="5">
        <v>14.0</v>
      </c>
      <c r="D49" s="9" t="str">
        <f t="shared" si="1"/>
        <v>5/8 BSF</v>
      </c>
      <c r="E49" s="9" t="str">
        <f t="shared" si="2"/>
        <v>5/8 - 14 BSF</v>
      </c>
      <c r="F49" s="10" t="s">
        <v>30</v>
      </c>
      <c r="G49" s="11">
        <f t="shared" si="3"/>
        <v>0.003608956265</v>
      </c>
      <c r="H49" s="12">
        <f t="shared" si="4"/>
        <v>0.6187184313</v>
      </c>
      <c r="I49" s="12">
        <f t="shared" si="5"/>
        <v>0.575653374</v>
      </c>
      <c r="J49" s="12">
        <f t="shared" si="6"/>
        <v>0.5245704795</v>
      </c>
      <c r="K49" s="10" t="s">
        <v>30</v>
      </c>
      <c r="L49" s="13">
        <v>0.0</v>
      </c>
      <c r="M49" s="14">
        <f t="shared" si="7"/>
        <v>0.625</v>
      </c>
      <c r="N49" s="14">
        <f t="shared" si="8"/>
        <v>0.5792623303</v>
      </c>
      <c r="O49" s="14">
        <f t="shared" si="9"/>
        <v>0.5335246606</v>
      </c>
      <c r="P49" s="14">
        <f t="shared" si="10"/>
        <v>0.5535714286</v>
      </c>
      <c r="Q49" s="10">
        <f t="shared" si="11"/>
        <v>14.1</v>
      </c>
      <c r="R49" s="24"/>
      <c r="S49" s="24"/>
      <c r="T49" s="24"/>
      <c r="U49" s="26"/>
      <c r="V49" s="24"/>
      <c r="W49" s="24"/>
      <c r="X49" s="24"/>
    </row>
    <row r="50" ht="15.75" customHeight="1">
      <c r="A50" s="5" t="s">
        <v>31</v>
      </c>
      <c r="B50" s="20">
        <v>0.6875</v>
      </c>
      <c r="C50" s="5">
        <v>14.0</v>
      </c>
      <c r="D50" s="9" t="str">
        <f t="shared" si="1"/>
        <v>11/16 BSF</v>
      </c>
      <c r="E50" s="9" t="str">
        <f t="shared" si="2"/>
        <v>11/16 - 14 BSF</v>
      </c>
      <c r="F50" s="10" t="s">
        <v>30</v>
      </c>
      <c r="G50" s="11">
        <f t="shared" si="3"/>
        <v>0.003664154486</v>
      </c>
      <c r="H50" s="12">
        <f t="shared" si="4"/>
        <v>0.6811632331</v>
      </c>
      <c r="I50" s="12">
        <f t="shared" si="5"/>
        <v>0.6380981758</v>
      </c>
      <c r="J50" s="12">
        <f t="shared" si="6"/>
        <v>0.5870152813</v>
      </c>
      <c r="K50" s="10" t="s">
        <v>30</v>
      </c>
      <c r="L50" s="13">
        <v>0.0</v>
      </c>
      <c r="M50" s="14">
        <f t="shared" si="7"/>
        <v>0.6875</v>
      </c>
      <c r="N50" s="14">
        <f t="shared" si="8"/>
        <v>0.6417623303</v>
      </c>
      <c r="O50" s="14">
        <f t="shared" si="9"/>
        <v>0.5960246606</v>
      </c>
      <c r="P50" s="14">
        <f t="shared" si="10"/>
        <v>0.6160714286</v>
      </c>
      <c r="Q50" s="10">
        <f t="shared" si="11"/>
        <v>15.7</v>
      </c>
      <c r="R50" s="24"/>
      <c r="S50" s="24"/>
      <c r="T50" s="24"/>
      <c r="U50" s="24"/>
      <c r="V50" s="24"/>
      <c r="W50" s="24"/>
      <c r="X50" s="24"/>
    </row>
    <row r="51" ht="15.75" customHeight="1">
      <c r="A51" s="5" t="s">
        <v>31</v>
      </c>
      <c r="B51" s="20">
        <v>0.75</v>
      </c>
      <c r="C51" s="5">
        <v>12.0</v>
      </c>
      <c r="D51" s="9" t="str">
        <f t="shared" si="1"/>
        <v>3/4 BSF</v>
      </c>
      <c r="E51" s="9" t="str">
        <f t="shared" si="2"/>
        <v>3/4 - 12 BSF</v>
      </c>
      <c r="F51" s="10" t="s">
        <v>30</v>
      </c>
      <c r="G51" s="11">
        <f t="shared" si="3"/>
        <v>0.003868253765</v>
      </c>
      <c r="H51" s="12">
        <f t="shared" si="4"/>
        <v>0.7432449949</v>
      </c>
      <c r="I51" s="12">
        <f t="shared" si="5"/>
        <v>0.6927711316</v>
      </c>
      <c r="J51" s="12">
        <f t="shared" si="6"/>
        <v>0.6336370143</v>
      </c>
      <c r="K51" s="10" t="s">
        <v>30</v>
      </c>
      <c r="L51" s="13">
        <v>0.0</v>
      </c>
      <c r="M51" s="14">
        <f t="shared" si="7"/>
        <v>0.75</v>
      </c>
      <c r="N51" s="14">
        <f t="shared" si="8"/>
        <v>0.6966393854</v>
      </c>
      <c r="O51" s="14">
        <f t="shared" si="9"/>
        <v>0.6432787707</v>
      </c>
      <c r="P51" s="14">
        <f t="shared" si="10"/>
        <v>0.6666666667</v>
      </c>
      <c r="Q51" s="10">
        <f t="shared" si="11"/>
        <v>16.9</v>
      </c>
      <c r="R51" s="24"/>
      <c r="S51" s="24"/>
      <c r="T51" s="24"/>
      <c r="U51" s="24"/>
      <c r="V51" s="24"/>
      <c r="W51" s="24"/>
      <c r="X51" s="24"/>
    </row>
    <row r="52" ht="15.75" customHeight="1">
      <c r="A52" s="5" t="s">
        <v>31</v>
      </c>
      <c r="B52" s="20">
        <v>0.875</v>
      </c>
      <c r="C52" s="5">
        <v>11.0</v>
      </c>
      <c r="D52" s="9" t="str">
        <f t="shared" si="1"/>
        <v>7/8 BSF</v>
      </c>
      <c r="E52" s="9" t="str">
        <f t="shared" si="2"/>
        <v>7/8 - 11 BSF</v>
      </c>
      <c r="F52" s="10" t="s">
        <v>30</v>
      </c>
      <c r="G52" s="11">
        <f t="shared" si="3"/>
        <v>0.004055269911</v>
      </c>
      <c r="H52" s="12">
        <f t="shared" si="4"/>
        <v>0.8679296166</v>
      </c>
      <c r="I52" s="12">
        <f t="shared" si="5"/>
        <v>0.8127331505</v>
      </c>
      <c r="J52" s="12">
        <f t="shared" si="6"/>
        <v>0.748491344</v>
      </c>
      <c r="K52" s="10" t="s">
        <v>30</v>
      </c>
      <c r="L52" s="13">
        <v>0.0</v>
      </c>
      <c r="M52" s="14">
        <f t="shared" si="7"/>
        <v>0.875</v>
      </c>
      <c r="N52" s="14">
        <f t="shared" si="8"/>
        <v>0.8167884204</v>
      </c>
      <c r="O52" s="14">
        <f t="shared" si="9"/>
        <v>0.7585768408</v>
      </c>
      <c r="P52" s="14">
        <f t="shared" si="10"/>
        <v>0.7840909091</v>
      </c>
      <c r="Q52" s="10">
        <f t="shared" si="11"/>
        <v>19.9</v>
      </c>
      <c r="R52" s="24"/>
      <c r="S52" s="24"/>
      <c r="T52" s="24"/>
      <c r="U52" s="24"/>
      <c r="V52" s="24"/>
      <c r="W52" s="24"/>
      <c r="X52" s="24"/>
    </row>
    <row r="53" ht="15.75" customHeight="1">
      <c r="A53" s="5" t="s">
        <v>31</v>
      </c>
      <c r="B53" s="20">
        <v>1.0</v>
      </c>
      <c r="C53" s="5">
        <v>10.0</v>
      </c>
      <c r="D53" s="9" t="str">
        <f t="shared" si="1"/>
        <v>1 BSF</v>
      </c>
      <c r="E53" s="9" t="str">
        <f t="shared" si="2"/>
        <v>1 - 10 BSF</v>
      </c>
      <c r="F53" s="10" t="s">
        <v>30</v>
      </c>
      <c r="G53" s="11">
        <f t="shared" si="3"/>
        <v>0.004246903813</v>
      </c>
      <c r="H53" s="12">
        <f t="shared" si="4"/>
        <v>0.9925908185</v>
      </c>
      <c r="I53" s="12">
        <f t="shared" si="5"/>
        <v>0.9317203586</v>
      </c>
      <c r="J53" s="12">
        <f t="shared" si="6"/>
        <v>0.8613630657</v>
      </c>
      <c r="K53" s="10" t="s">
        <v>30</v>
      </c>
      <c r="L53" s="13">
        <v>0.0</v>
      </c>
      <c r="M53" s="14">
        <f t="shared" si="7"/>
        <v>1</v>
      </c>
      <c r="N53" s="14">
        <f t="shared" si="8"/>
        <v>0.9359672624</v>
      </c>
      <c r="O53" s="14">
        <f t="shared" si="9"/>
        <v>0.8719345249</v>
      </c>
      <c r="P53" s="14">
        <f t="shared" si="10"/>
        <v>0.9</v>
      </c>
      <c r="Q53" s="10">
        <f t="shared" si="11"/>
        <v>22.9</v>
      </c>
      <c r="R53" s="24"/>
      <c r="S53" s="24"/>
      <c r="T53" s="24"/>
      <c r="U53" s="24"/>
      <c r="V53" s="24"/>
      <c r="W53" s="24"/>
      <c r="X53" s="24"/>
    </row>
    <row r="54" ht="15.75" customHeight="1">
      <c r="A54" s="5" t="s">
        <v>31</v>
      </c>
      <c r="B54" s="20">
        <v>1.125</v>
      </c>
      <c r="C54" s="5">
        <v>9.0</v>
      </c>
      <c r="D54" s="9" t="str">
        <f t="shared" si="1"/>
        <v>1 1/8 BSF</v>
      </c>
      <c r="E54" s="9" t="str">
        <f t="shared" si="2"/>
        <v>1 1/8 - 9 BSF</v>
      </c>
      <c r="F54" s="10" t="s">
        <v>30</v>
      </c>
      <c r="G54" s="11">
        <f t="shared" si="3"/>
        <v>0.004448528401</v>
      </c>
      <c r="H54" s="12">
        <f t="shared" si="4"/>
        <v>1.117218138</v>
      </c>
      <c r="I54" s="12">
        <f t="shared" si="5"/>
        <v>1.049403985</v>
      </c>
      <c r="J54" s="12">
        <f t="shared" si="6"/>
        <v>0.9715898326</v>
      </c>
      <c r="K54" s="10" t="s">
        <v>30</v>
      </c>
      <c r="L54" s="13">
        <v>0.0</v>
      </c>
      <c r="M54" s="14">
        <f t="shared" si="7"/>
        <v>1.125</v>
      </c>
      <c r="N54" s="14">
        <f t="shared" si="8"/>
        <v>1.053852514</v>
      </c>
      <c r="O54" s="14">
        <f t="shared" si="9"/>
        <v>0.9827050276</v>
      </c>
      <c r="P54" s="14">
        <f t="shared" si="10"/>
        <v>1.013888889</v>
      </c>
      <c r="Q54" s="10">
        <f t="shared" si="11"/>
        <v>25.8</v>
      </c>
      <c r="R54" s="24"/>
      <c r="S54" s="24"/>
      <c r="T54" s="24"/>
      <c r="U54" s="24"/>
      <c r="V54" s="24"/>
      <c r="W54" s="24"/>
      <c r="X54" s="24"/>
    </row>
    <row r="55" ht="15.75" customHeight="1">
      <c r="A55" s="5" t="s">
        <v>31</v>
      </c>
      <c r="B55" s="20">
        <v>1.25</v>
      </c>
      <c r="C55" s="5">
        <v>9.0</v>
      </c>
      <c r="D55" s="9" t="str">
        <f t="shared" si="1"/>
        <v>1 1/4 BSF</v>
      </c>
      <c r="E55" s="9" t="str">
        <f t="shared" si="2"/>
        <v>1 1/4 - 9 BSF</v>
      </c>
      <c r="F55" s="10" t="s">
        <v>30</v>
      </c>
      <c r="G55" s="11">
        <f t="shared" si="3"/>
        <v>0.004522879268</v>
      </c>
      <c r="H55" s="12">
        <f t="shared" si="4"/>
        <v>1.242143787</v>
      </c>
      <c r="I55" s="12">
        <f t="shared" si="5"/>
        <v>1.174329635</v>
      </c>
      <c r="J55" s="12">
        <f t="shared" si="6"/>
        <v>1.096515482</v>
      </c>
      <c r="K55" s="10" t="s">
        <v>30</v>
      </c>
      <c r="L55" s="13">
        <v>0.0</v>
      </c>
      <c r="M55" s="14">
        <f t="shared" si="7"/>
        <v>1.25</v>
      </c>
      <c r="N55" s="14">
        <f t="shared" si="8"/>
        <v>1.178852514</v>
      </c>
      <c r="O55" s="14">
        <f t="shared" si="9"/>
        <v>1.107705028</v>
      </c>
      <c r="P55" s="14">
        <f t="shared" si="10"/>
        <v>1.138888889</v>
      </c>
      <c r="Q55" s="10">
        <f t="shared" si="11"/>
        <v>28.9</v>
      </c>
      <c r="R55" s="24"/>
      <c r="S55" s="24"/>
      <c r="T55" s="24"/>
      <c r="U55" s="24"/>
      <c r="V55" s="24"/>
      <c r="W55" s="24"/>
      <c r="X55" s="24"/>
    </row>
    <row r="56" ht="15.75" customHeight="1">
      <c r="A56" s="5" t="s">
        <v>31</v>
      </c>
      <c r="B56" s="20">
        <v>1.375</v>
      </c>
      <c r="C56" s="5">
        <v>8.0</v>
      </c>
      <c r="D56" s="9" t="str">
        <f t="shared" si="1"/>
        <v>1 3/8 BSF</v>
      </c>
      <c r="E56" s="9" t="str">
        <f t="shared" si="2"/>
        <v>1 3/8 - 8 BSF</v>
      </c>
      <c r="F56" s="10" t="s">
        <v>30</v>
      </c>
      <c r="G56" s="11">
        <f t="shared" si="3"/>
        <v>0.004736094923</v>
      </c>
      <c r="H56" s="12">
        <f t="shared" si="4"/>
        <v>1.366728371</v>
      </c>
      <c r="I56" s="12">
        <f t="shared" si="5"/>
        <v>1.290222983</v>
      </c>
      <c r="J56" s="12">
        <f t="shared" si="6"/>
        <v>1.203110993</v>
      </c>
      <c r="K56" s="10" t="s">
        <v>30</v>
      </c>
      <c r="L56" s="13">
        <v>0.0</v>
      </c>
      <c r="M56" s="14">
        <f t="shared" si="7"/>
        <v>1.375</v>
      </c>
      <c r="N56" s="14">
        <f t="shared" si="8"/>
        <v>1.294959078</v>
      </c>
      <c r="O56" s="14">
        <f t="shared" si="9"/>
        <v>1.214918156</v>
      </c>
      <c r="P56" s="14">
        <f t="shared" si="10"/>
        <v>1.25</v>
      </c>
      <c r="Q56" s="10">
        <f t="shared" si="11"/>
        <v>31.8</v>
      </c>
      <c r="R56" s="24"/>
      <c r="S56" s="24"/>
      <c r="T56" s="24"/>
      <c r="U56" s="24"/>
      <c r="V56" s="24"/>
      <c r="W56" s="24"/>
      <c r="X56" s="24"/>
    </row>
    <row r="57" ht="15.75" customHeight="1">
      <c r="A57" s="5" t="s">
        <v>31</v>
      </c>
      <c r="B57" s="20">
        <v>1.5</v>
      </c>
      <c r="C57" s="5">
        <v>8.0</v>
      </c>
      <c r="D57" s="9" t="str">
        <f t="shared" si="1"/>
        <v>1 1/2 BSF</v>
      </c>
      <c r="E57" s="9" t="str">
        <f t="shared" si="2"/>
        <v>1 1/2 - 8 BSF</v>
      </c>
      <c r="F57" s="10" t="s">
        <v>30</v>
      </c>
      <c r="G57" s="11">
        <f t="shared" si="3"/>
        <v>0.004801543318</v>
      </c>
      <c r="H57" s="12">
        <f t="shared" si="4"/>
        <v>1.491662923</v>
      </c>
      <c r="I57" s="12">
        <f t="shared" si="5"/>
        <v>1.415157535</v>
      </c>
      <c r="J57" s="12">
        <f t="shared" si="6"/>
        <v>1.328045545</v>
      </c>
      <c r="K57" s="10" t="s">
        <v>30</v>
      </c>
      <c r="L57" s="13">
        <v>0.0</v>
      </c>
      <c r="M57" s="14">
        <f t="shared" si="7"/>
        <v>1.5</v>
      </c>
      <c r="N57" s="14">
        <f t="shared" si="8"/>
        <v>1.419959078</v>
      </c>
      <c r="O57" s="14">
        <f t="shared" si="9"/>
        <v>1.339918156</v>
      </c>
      <c r="P57" s="14">
        <f t="shared" si="10"/>
        <v>1.375</v>
      </c>
      <c r="Q57" s="10">
        <f t="shared" si="11"/>
        <v>34.9</v>
      </c>
      <c r="R57" s="24"/>
      <c r="S57" s="24"/>
      <c r="T57" s="24"/>
      <c r="U57" s="24"/>
      <c r="V57" s="24"/>
      <c r="W57" s="24"/>
      <c r="X57" s="24"/>
    </row>
    <row r="58" ht="15.75" customHeight="1">
      <c r="A58" s="5" t="s">
        <v>31</v>
      </c>
      <c r="B58" s="20">
        <v>1.625</v>
      </c>
      <c r="C58" s="5">
        <v>8.0</v>
      </c>
      <c r="D58" s="9" t="str">
        <f t="shared" si="1"/>
        <v>1 5/8 BSF</v>
      </c>
      <c r="E58" s="9" t="str">
        <f t="shared" si="2"/>
        <v>1 5/8 - 8 BSF</v>
      </c>
      <c r="F58" s="10" t="s">
        <v>30</v>
      </c>
      <c r="G58" s="11">
        <f t="shared" si="3"/>
        <v>0.004863449521</v>
      </c>
      <c r="H58" s="12">
        <f t="shared" si="4"/>
        <v>1.616601017</v>
      </c>
      <c r="I58" s="12">
        <f t="shared" si="5"/>
        <v>1.540095629</v>
      </c>
      <c r="J58" s="12">
        <f t="shared" si="6"/>
        <v>1.452983639</v>
      </c>
      <c r="K58" s="10" t="s">
        <v>30</v>
      </c>
      <c r="L58" s="13">
        <v>0.0</v>
      </c>
      <c r="M58" s="14">
        <f t="shared" si="7"/>
        <v>1.625</v>
      </c>
      <c r="N58" s="14">
        <f t="shared" si="8"/>
        <v>1.544959078</v>
      </c>
      <c r="O58" s="14">
        <f t="shared" si="9"/>
        <v>1.464918156</v>
      </c>
      <c r="P58" s="14">
        <f t="shared" si="10"/>
        <v>1.5</v>
      </c>
      <c r="Q58" s="10">
        <f t="shared" si="11"/>
        <v>38.1</v>
      </c>
      <c r="R58" s="24"/>
      <c r="S58" s="24"/>
      <c r="T58" s="24"/>
      <c r="U58" s="24"/>
      <c r="V58" s="24"/>
      <c r="W58" s="24"/>
      <c r="X58" s="24"/>
    </row>
    <row r="59" ht="15.75" customHeight="1">
      <c r="A59" s="5" t="s">
        <v>31</v>
      </c>
      <c r="B59" s="20">
        <v>1.75</v>
      </c>
      <c r="C59" s="5">
        <v>7.0</v>
      </c>
      <c r="D59" s="9" t="str">
        <f t="shared" si="1"/>
        <v>1 3/4 BSF</v>
      </c>
      <c r="E59" s="9" t="str">
        <f t="shared" si="2"/>
        <v>1 3/4 - 7 BSF</v>
      </c>
      <c r="F59" s="10" t="s">
        <v>30</v>
      </c>
      <c r="G59" s="11">
        <f t="shared" si="3"/>
        <v>0.005095705984</v>
      </c>
      <c r="H59" s="12">
        <f t="shared" si="4"/>
        <v>1.741124649</v>
      </c>
      <c r="I59" s="12">
        <f t="shared" si="5"/>
        <v>1.653428955</v>
      </c>
      <c r="J59" s="12">
        <f t="shared" si="6"/>
        <v>1.554394326</v>
      </c>
      <c r="K59" s="10" t="s">
        <v>30</v>
      </c>
      <c r="L59" s="13">
        <v>0.0</v>
      </c>
      <c r="M59" s="14">
        <f t="shared" si="7"/>
        <v>1.75</v>
      </c>
      <c r="N59" s="14">
        <f t="shared" si="8"/>
        <v>1.658524661</v>
      </c>
      <c r="O59" s="14">
        <f t="shared" si="9"/>
        <v>1.567049321</v>
      </c>
      <c r="P59" s="14">
        <f t="shared" si="10"/>
        <v>1.607142857</v>
      </c>
      <c r="Q59" s="10">
        <f t="shared" si="11"/>
        <v>40.8</v>
      </c>
      <c r="R59" s="24"/>
      <c r="S59" s="24"/>
      <c r="T59" s="24"/>
      <c r="U59" s="25"/>
      <c r="V59" s="24"/>
      <c r="W59" s="24"/>
      <c r="X59" s="24"/>
    </row>
    <row r="60" ht="15.75" customHeight="1">
      <c r="A60" s="5" t="s">
        <v>31</v>
      </c>
      <c r="B60" s="20">
        <v>2.0</v>
      </c>
      <c r="C60" s="5">
        <v>7.0</v>
      </c>
      <c r="D60" s="9" t="str">
        <f t="shared" si="1"/>
        <v>2 BSF</v>
      </c>
      <c r="E60" s="9" t="str">
        <f t="shared" si="2"/>
        <v>2 - 7 BSF</v>
      </c>
      <c r="F60" s="10" t="s">
        <v>30</v>
      </c>
      <c r="G60" s="11">
        <f t="shared" si="3"/>
        <v>0.00520540582</v>
      </c>
      <c r="H60" s="12">
        <f t="shared" si="4"/>
        <v>1.991014949</v>
      </c>
      <c r="I60" s="12">
        <f t="shared" si="5"/>
        <v>1.903319255</v>
      </c>
      <c r="J60" s="12">
        <f t="shared" si="6"/>
        <v>1.804284626</v>
      </c>
      <c r="K60" s="10" t="s">
        <v>30</v>
      </c>
      <c r="L60" s="13">
        <v>0.0</v>
      </c>
      <c r="M60" s="14">
        <f t="shared" si="7"/>
        <v>2</v>
      </c>
      <c r="N60" s="14">
        <f t="shared" si="8"/>
        <v>1.908524661</v>
      </c>
      <c r="O60" s="14">
        <f t="shared" si="9"/>
        <v>1.817049321</v>
      </c>
      <c r="P60" s="14">
        <f t="shared" si="10"/>
        <v>1.857142857</v>
      </c>
      <c r="Q60" s="10">
        <f t="shared" si="11"/>
        <v>47.2</v>
      </c>
      <c r="R60" s="24"/>
      <c r="S60" s="24"/>
      <c r="T60" s="24"/>
      <c r="U60" s="24"/>
      <c r="V60" s="24"/>
      <c r="W60" s="24"/>
      <c r="X60" s="24"/>
    </row>
    <row r="61" ht="15.75" customHeight="1">
      <c r="A61" s="5" t="s">
        <v>31</v>
      </c>
      <c r="B61" s="20">
        <v>2.25</v>
      </c>
      <c r="C61" s="5">
        <v>6.0</v>
      </c>
      <c r="D61" s="9" t="str">
        <f t="shared" si="1"/>
        <v>2 1/4 BSF</v>
      </c>
      <c r="E61" s="9" t="str">
        <f t="shared" si="2"/>
        <v>2 1/4 - 6 BSF</v>
      </c>
      <c r="F61" s="10" t="s">
        <v>30</v>
      </c>
      <c r="G61" s="11">
        <f t="shared" si="3"/>
        <v>0.005521481744</v>
      </c>
      <c r="H61" s="12">
        <f t="shared" si="4"/>
        <v>2.240396035</v>
      </c>
      <c r="I61" s="12">
        <f t="shared" si="5"/>
        <v>2.137757289</v>
      </c>
      <c r="J61" s="12">
        <f t="shared" si="6"/>
        <v>2.022871094</v>
      </c>
      <c r="K61" s="10" t="s">
        <v>30</v>
      </c>
      <c r="L61" s="13">
        <v>0.0</v>
      </c>
      <c r="M61" s="14">
        <f t="shared" si="7"/>
        <v>2.25</v>
      </c>
      <c r="N61" s="14">
        <f t="shared" si="8"/>
        <v>2.143278771</v>
      </c>
      <c r="O61" s="14">
        <f t="shared" si="9"/>
        <v>2.036557541</v>
      </c>
      <c r="P61" s="14">
        <f t="shared" si="10"/>
        <v>2.083333333</v>
      </c>
      <c r="Q61" s="10">
        <f t="shared" si="11"/>
        <v>52.9</v>
      </c>
      <c r="R61" s="24"/>
      <c r="S61" s="24"/>
      <c r="T61" s="24"/>
      <c r="U61" s="25"/>
      <c r="V61" s="24"/>
      <c r="W61" s="24"/>
      <c r="X61" s="24"/>
    </row>
    <row r="62" ht="15.75" customHeight="1">
      <c r="A62" s="5" t="s">
        <v>31</v>
      </c>
      <c r="B62" s="20">
        <v>2.5</v>
      </c>
      <c r="C62" s="5">
        <v>6.0</v>
      </c>
      <c r="D62" s="9" t="str">
        <f t="shared" si="1"/>
        <v>2 1/2 BSF</v>
      </c>
      <c r="E62" s="9" t="str">
        <f t="shared" si="2"/>
        <v>2 1/2 - 6 BSF</v>
      </c>
      <c r="F62" s="10" t="s">
        <v>30</v>
      </c>
      <c r="G62" s="11">
        <f t="shared" si="3"/>
        <v>0.005615157967</v>
      </c>
      <c r="H62" s="12">
        <f t="shared" si="4"/>
        <v>2.490302359</v>
      </c>
      <c r="I62" s="12">
        <f t="shared" si="5"/>
        <v>2.387663613</v>
      </c>
      <c r="J62" s="12">
        <f t="shared" si="6"/>
        <v>2.272777418</v>
      </c>
      <c r="K62" s="10" t="s">
        <v>30</v>
      </c>
      <c r="L62" s="13">
        <v>0.0</v>
      </c>
      <c r="M62" s="14">
        <f t="shared" si="7"/>
        <v>2.5</v>
      </c>
      <c r="N62" s="14">
        <f t="shared" si="8"/>
        <v>2.393278771</v>
      </c>
      <c r="O62" s="14">
        <f t="shared" si="9"/>
        <v>2.286557541</v>
      </c>
      <c r="P62" s="14">
        <f t="shared" si="10"/>
        <v>2.333333333</v>
      </c>
      <c r="Q62" s="10">
        <f t="shared" si="11"/>
        <v>59.3</v>
      </c>
      <c r="R62" s="24"/>
      <c r="S62" s="24"/>
      <c r="T62" s="24"/>
      <c r="U62" s="24"/>
      <c r="V62" s="24"/>
      <c r="W62" s="24"/>
      <c r="X62" s="24"/>
    </row>
    <row r="63" ht="15.75" customHeight="1">
      <c r="A63" s="5" t="s">
        <v>31</v>
      </c>
      <c r="B63" s="20">
        <v>2.75</v>
      </c>
      <c r="C63" s="5">
        <v>6.0</v>
      </c>
      <c r="D63" s="9" t="str">
        <f t="shared" si="1"/>
        <v>2 3/4 BSF</v>
      </c>
      <c r="E63" s="9" t="str">
        <f t="shared" si="2"/>
        <v>2 3/4 - 6 BSF</v>
      </c>
      <c r="F63" s="10" t="s">
        <v>30</v>
      </c>
      <c r="G63" s="11">
        <f t="shared" si="3"/>
        <v>0.005702779681</v>
      </c>
      <c r="H63" s="12">
        <f t="shared" si="4"/>
        <v>2.740214737</v>
      </c>
      <c r="I63" s="12">
        <f t="shared" si="5"/>
        <v>2.637575991</v>
      </c>
      <c r="J63" s="12">
        <f t="shared" si="6"/>
        <v>2.522689796</v>
      </c>
      <c r="K63" s="10" t="s">
        <v>30</v>
      </c>
      <c r="L63" s="13">
        <v>0.0</v>
      </c>
      <c r="M63" s="14">
        <f t="shared" si="7"/>
        <v>2.75</v>
      </c>
      <c r="N63" s="14">
        <f t="shared" si="8"/>
        <v>2.643278771</v>
      </c>
      <c r="O63" s="14">
        <f t="shared" si="9"/>
        <v>2.536557541</v>
      </c>
      <c r="P63" s="14">
        <f t="shared" si="10"/>
        <v>2.583333333</v>
      </c>
      <c r="Q63" s="10">
        <f t="shared" si="11"/>
        <v>65.6</v>
      </c>
      <c r="R63" s="24"/>
      <c r="S63" s="24"/>
      <c r="T63" s="24"/>
      <c r="U63" s="25"/>
      <c r="V63" s="24"/>
      <c r="W63" s="24"/>
      <c r="X63" s="24"/>
    </row>
    <row r="64" ht="15.75" customHeight="1">
      <c r="A64" s="5" t="s">
        <v>31</v>
      </c>
      <c r="B64" s="20">
        <v>3.0</v>
      </c>
      <c r="C64" s="5">
        <v>5.0</v>
      </c>
      <c r="D64" s="9" t="str">
        <f t="shared" si="1"/>
        <v>3 BSF</v>
      </c>
      <c r="E64" s="9" t="str">
        <f t="shared" si="2"/>
        <v>3 - 5 BSF</v>
      </c>
      <c r="F64" s="10" t="s">
        <v>30</v>
      </c>
      <c r="G64" s="11">
        <f t="shared" si="3"/>
        <v>0.006062100987</v>
      </c>
      <c r="H64" s="12">
        <f t="shared" si="4"/>
        <v>2.989465763</v>
      </c>
      <c r="I64" s="12">
        <f t="shared" si="5"/>
        <v>2.865872424</v>
      </c>
      <c r="J64" s="12">
        <f t="shared" si="6"/>
        <v>2.728862677</v>
      </c>
      <c r="K64" s="10" t="s">
        <v>30</v>
      </c>
      <c r="L64" s="13">
        <v>0.0</v>
      </c>
      <c r="M64" s="14">
        <f t="shared" si="7"/>
        <v>3</v>
      </c>
      <c r="N64" s="14">
        <f t="shared" si="8"/>
        <v>2.871934525</v>
      </c>
      <c r="O64" s="14">
        <f t="shared" si="9"/>
        <v>2.74386905</v>
      </c>
      <c r="P64" s="14">
        <f t="shared" si="10"/>
        <v>2.8</v>
      </c>
      <c r="Q64" s="10">
        <f t="shared" si="11"/>
        <v>71.1</v>
      </c>
      <c r="R64" s="24"/>
      <c r="S64" s="24"/>
      <c r="T64" s="24"/>
      <c r="U64" s="27"/>
      <c r="V64" s="24"/>
      <c r="W64" s="24"/>
      <c r="X64" s="24"/>
    </row>
    <row r="65" ht="15.75" customHeight="1">
      <c r="A65" s="5" t="s">
        <v>31</v>
      </c>
      <c r="B65" s="20">
        <v>3.25</v>
      </c>
      <c r="C65" s="5">
        <v>5.0</v>
      </c>
      <c r="D65" s="9" t="str">
        <f t="shared" si="1"/>
        <v>3 1/4 BSF</v>
      </c>
      <c r="E65" s="9" t="str">
        <f t="shared" si="2"/>
        <v>3 1/4 - 5 BSF</v>
      </c>
      <c r="F65" s="10" t="s">
        <v>30</v>
      </c>
      <c r="G65" s="11">
        <f t="shared" si="3"/>
        <v>0.006140097915</v>
      </c>
      <c r="H65" s="12">
        <f t="shared" si="4"/>
        <v>3.239387766</v>
      </c>
      <c r="I65" s="12">
        <f t="shared" si="5"/>
        <v>3.115794427</v>
      </c>
      <c r="J65" s="12">
        <f t="shared" si="6"/>
        <v>2.97878468</v>
      </c>
      <c r="K65" s="10" t="s">
        <v>30</v>
      </c>
      <c r="L65" s="13">
        <v>0.0</v>
      </c>
      <c r="M65" s="14">
        <f t="shared" si="7"/>
        <v>3.25</v>
      </c>
      <c r="N65" s="14">
        <f t="shared" si="8"/>
        <v>3.121934525</v>
      </c>
      <c r="O65" s="14">
        <f t="shared" si="9"/>
        <v>2.99386905</v>
      </c>
      <c r="P65" s="14">
        <f t="shared" si="10"/>
        <v>3.05</v>
      </c>
      <c r="Q65" s="10">
        <f t="shared" si="11"/>
        <v>77.5</v>
      </c>
      <c r="R65" s="24"/>
      <c r="S65" s="24"/>
      <c r="T65" s="24"/>
      <c r="U65" s="27"/>
      <c r="V65" s="24"/>
      <c r="W65" s="24"/>
      <c r="X65" s="24"/>
    </row>
    <row r="66" ht="15.75" customHeight="1">
      <c r="A66" s="5" t="s">
        <v>31</v>
      </c>
      <c r="B66" s="20">
        <v>3.5</v>
      </c>
      <c r="C66" s="5">
        <v>4.5</v>
      </c>
      <c r="D66" s="9" t="str">
        <f t="shared" si="1"/>
        <v>3 1/2 BSF</v>
      </c>
      <c r="E66" s="9" t="str">
        <f t="shared" si="2"/>
        <v>3 1/2 - 4.5 BSF</v>
      </c>
      <c r="F66" s="10" t="s">
        <v>30</v>
      </c>
      <c r="G66" s="11">
        <f t="shared" si="3"/>
        <v>0.006386075416</v>
      </c>
      <c r="H66" s="12">
        <f t="shared" si="4"/>
        <v>3.488899879</v>
      </c>
      <c r="I66" s="12">
        <f t="shared" si="5"/>
        <v>3.351318952</v>
      </c>
      <c r="J66" s="12">
        <f t="shared" si="6"/>
        <v>3.199595889</v>
      </c>
      <c r="K66" s="10" t="s">
        <v>30</v>
      </c>
      <c r="L66" s="13">
        <v>0.0</v>
      </c>
      <c r="M66" s="14">
        <f t="shared" si="7"/>
        <v>3.5</v>
      </c>
      <c r="N66" s="14">
        <f t="shared" si="8"/>
        <v>3.357705028</v>
      </c>
      <c r="O66" s="14">
        <f t="shared" si="9"/>
        <v>3.215410055</v>
      </c>
      <c r="P66" s="14">
        <f t="shared" si="10"/>
        <v>3.277777778</v>
      </c>
      <c r="Q66" s="10">
        <f t="shared" si="11"/>
        <v>83.3</v>
      </c>
      <c r="R66" s="24"/>
      <c r="S66" s="24"/>
      <c r="T66" s="24"/>
      <c r="U66" s="27"/>
      <c r="V66" s="24"/>
      <c r="W66" s="24"/>
      <c r="X66" s="24"/>
    </row>
    <row r="67" ht="15.75" customHeight="1">
      <c r="A67" s="5" t="s">
        <v>31</v>
      </c>
      <c r="B67" s="20">
        <v>3.75</v>
      </c>
      <c r="C67" s="5">
        <v>4.5</v>
      </c>
      <c r="D67" s="9" t="str">
        <f t="shared" si="1"/>
        <v>3 3/4 BSF</v>
      </c>
      <c r="E67" s="9" t="str">
        <f t="shared" si="2"/>
        <v>3 3/4 - 4.5 BSF</v>
      </c>
      <c r="F67" s="10" t="s">
        <v>30</v>
      </c>
      <c r="G67" s="11">
        <f t="shared" si="3"/>
        <v>0.00645671895</v>
      </c>
      <c r="H67" s="12">
        <f t="shared" si="4"/>
        <v>3.738829236</v>
      </c>
      <c r="I67" s="12">
        <f t="shared" si="5"/>
        <v>3.601248309</v>
      </c>
      <c r="J67" s="12">
        <f t="shared" si="6"/>
        <v>3.449525246</v>
      </c>
      <c r="K67" s="10" t="s">
        <v>30</v>
      </c>
      <c r="L67" s="13">
        <v>0.0</v>
      </c>
      <c r="M67" s="14">
        <f t="shared" si="7"/>
        <v>3.75</v>
      </c>
      <c r="N67" s="14">
        <f t="shared" si="8"/>
        <v>3.607705028</v>
      </c>
      <c r="O67" s="14">
        <f t="shared" si="9"/>
        <v>3.465410055</v>
      </c>
      <c r="P67" s="14">
        <f t="shared" si="10"/>
        <v>3.527777778</v>
      </c>
      <c r="Q67" s="10">
        <f t="shared" si="11"/>
        <v>89.6</v>
      </c>
      <c r="R67" s="24"/>
      <c r="S67" s="24"/>
      <c r="T67" s="24"/>
      <c r="U67" s="27"/>
      <c r="V67" s="24"/>
      <c r="W67" s="24"/>
      <c r="X67" s="24"/>
    </row>
    <row r="68" ht="15.75" customHeight="1">
      <c r="A68" s="5" t="s">
        <v>31</v>
      </c>
      <c r="B68" s="20">
        <v>4.0</v>
      </c>
      <c r="C68" s="5">
        <v>4.5</v>
      </c>
      <c r="D68" s="9" t="str">
        <f t="shared" si="1"/>
        <v>4 BSF</v>
      </c>
      <c r="E68" s="9" t="str">
        <f t="shared" si="2"/>
        <v>4 - 4.5 BSF</v>
      </c>
      <c r="F68" s="10" t="s">
        <v>30</v>
      </c>
      <c r="G68" s="11">
        <f t="shared" si="3"/>
        <v>0.006524288548</v>
      </c>
      <c r="H68" s="12">
        <f t="shared" si="4"/>
        <v>3.988761666</v>
      </c>
      <c r="I68" s="12">
        <f t="shared" si="5"/>
        <v>3.851180739</v>
      </c>
      <c r="J68" s="12">
        <f t="shared" si="6"/>
        <v>3.699457676</v>
      </c>
      <c r="K68" s="10" t="s">
        <v>30</v>
      </c>
      <c r="L68" s="13">
        <v>0.0</v>
      </c>
      <c r="M68" s="14">
        <f t="shared" si="7"/>
        <v>4</v>
      </c>
      <c r="N68" s="14">
        <f t="shared" si="8"/>
        <v>3.857705028</v>
      </c>
      <c r="O68" s="14">
        <f t="shared" si="9"/>
        <v>3.715410055</v>
      </c>
      <c r="P68" s="14">
        <f t="shared" si="10"/>
        <v>3.777777778</v>
      </c>
      <c r="Q68" s="10">
        <f t="shared" si="11"/>
        <v>96</v>
      </c>
      <c r="R68" s="24"/>
      <c r="S68" s="24"/>
      <c r="T68" s="24"/>
      <c r="U68" s="27"/>
      <c r="V68" s="24"/>
      <c r="W68" s="24"/>
      <c r="X68" s="24"/>
    </row>
    <row r="69" ht="15.75" customHeight="1">
      <c r="A69" s="5" t="s">
        <v>31</v>
      </c>
      <c r="B69" s="20">
        <v>4.25</v>
      </c>
      <c r="C69" s="5">
        <v>4.0</v>
      </c>
      <c r="D69" s="9" t="str">
        <f t="shared" si="1"/>
        <v>4 1/4 BSF</v>
      </c>
      <c r="E69" s="9" t="str">
        <f t="shared" si="2"/>
        <v>4 1/4 - 4 BSF</v>
      </c>
      <c r="F69" s="10" t="s">
        <v>30</v>
      </c>
      <c r="G69" s="11">
        <f t="shared" si="3"/>
        <v>0.006792278668</v>
      </c>
      <c r="H69" s="12">
        <f t="shared" si="4"/>
        <v>4.238207721</v>
      </c>
      <c r="I69" s="12">
        <f t="shared" si="5"/>
        <v>4.083125877</v>
      </c>
      <c r="J69" s="12">
        <f t="shared" si="6"/>
        <v>3.913044034</v>
      </c>
      <c r="K69" s="10" t="s">
        <v>30</v>
      </c>
      <c r="L69" s="13">
        <v>0.0</v>
      </c>
      <c r="M69" s="14">
        <f t="shared" si="7"/>
        <v>4.25</v>
      </c>
      <c r="N69" s="14">
        <f t="shared" si="8"/>
        <v>4.089918156</v>
      </c>
      <c r="O69" s="14">
        <f t="shared" si="9"/>
        <v>3.929836312</v>
      </c>
      <c r="P69" s="14">
        <f t="shared" si="10"/>
        <v>4</v>
      </c>
      <c r="Q69" s="10">
        <f t="shared" si="11"/>
        <v>101.6</v>
      </c>
      <c r="R69" s="24"/>
      <c r="S69" s="24"/>
      <c r="T69" s="24"/>
      <c r="U69" s="25"/>
      <c r="V69" s="24"/>
      <c r="W69" s="24"/>
      <c r="X69" s="24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28"/>
      <c r="P70" s="29"/>
      <c r="Q70" s="29"/>
      <c r="R70" s="24"/>
      <c r="S70" s="24"/>
      <c r="T70" s="24"/>
      <c r="U70" s="25"/>
      <c r="V70" s="24"/>
      <c r="W70" s="24"/>
      <c r="X70" s="24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28"/>
      <c r="P71" s="29"/>
      <c r="Q71" s="29"/>
      <c r="R71" s="24"/>
      <c r="S71" s="24"/>
      <c r="T71" s="24"/>
      <c r="U71" s="25"/>
      <c r="V71" s="24"/>
      <c r="W71" s="24"/>
      <c r="X71" s="24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30"/>
      <c r="P72" s="29"/>
      <c r="Q72" s="29"/>
      <c r="R72" s="24"/>
      <c r="S72" s="24"/>
      <c r="T72" s="24"/>
      <c r="U72" s="25"/>
      <c r="V72" s="24"/>
      <c r="W72" s="24"/>
      <c r="X72" s="24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28"/>
      <c r="P73" s="29"/>
      <c r="Q73" s="31"/>
      <c r="R73" s="25"/>
      <c r="S73" s="25"/>
      <c r="T73" s="25"/>
      <c r="U73" s="25"/>
      <c r="V73" s="25"/>
      <c r="W73" s="25"/>
      <c r="X73" s="24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23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23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32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23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23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23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23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23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23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23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23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23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23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23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23" t="s">
        <v>32</v>
      </c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33">
        <v>8.0</v>
      </c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33">
        <v>4.0</v>
      </c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34" t="s">
        <v>33</v>
      </c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23" t="s">
        <v>34</v>
      </c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  <row r="1001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</row>
    <row r="1002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</row>
  </sheetData>
  <mergeCells count="2">
    <mergeCell ref="F6:J6"/>
    <mergeCell ref="K6:P6"/>
  </mergeCells>
  <hyperlinks>
    <hyperlink r:id="rId2" ref="D1"/>
  </hyperlinks>
  <printOptions/>
  <pageMargins bottom="0.75" footer="0.0" header="0.0" left="0.7" right="0.7" top="0.75"/>
  <pageSetup paperSize="9" orientation="portrait"/>
  <drawing r:id="rId3"/>
  <legacyDrawing r:id="rId4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2021-12-21T23:11:23Z</dcterms:created>
  <dc:creator>andypugh</dc:creator>
</cp:coreProperties>
</file>