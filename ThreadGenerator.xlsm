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f\personal\github\FusionThreads\"/>
    </mc:Choice>
  </mc:AlternateContent>
  <xr:revisionPtr revIDLastSave="0" documentId="13_ncr:1_{E5F6F93D-F69E-4E05-9C24-4B86D41E927F}" xr6:coauthVersionLast="36" xr6:coauthVersionMax="47" xr10:uidLastSave="{00000000-0000-0000-0000-000000000000}"/>
  <bookViews>
    <workbookView xWindow="4905" yWindow="495" windowWidth="28125" windowHeight="20160" xr2:uid="{19634F1A-D026-EE48-B7ED-E173896826F4}"/>
  </bookViews>
  <sheets>
    <sheet name="Whitworth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1" l="1" a="1"/>
  <c r="N11" i="1" s="1"/>
  <c r="N34" i="1" l="1"/>
  <c r="N30" i="1"/>
  <c r="N26" i="1"/>
  <c r="N22" i="1"/>
  <c r="N18" i="1"/>
  <c r="N14" i="1"/>
  <c r="N10" i="1"/>
  <c r="N37" i="1"/>
  <c r="N33" i="1"/>
  <c r="N29" i="1"/>
  <c r="N25" i="1"/>
  <c r="N21" i="1"/>
  <c r="N17" i="1"/>
  <c r="N13" i="1"/>
  <c r="N9" i="1"/>
  <c r="N36" i="1"/>
  <c r="N32" i="1"/>
  <c r="N28" i="1"/>
  <c r="N24" i="1"/>
  <c r="N20" i="1"/>
  <c r="N16" i="1"/>
  <c r="N12" i="1"/>
  <c r="N8" i="1"/>
  <c r="N35" i="1"/>
  <c r="N31" i="1"/>
  <c r="N27" i="1"/>
  <c r="N23" i="1"/>
  <c r="N19" i="1"/>
  <c r="N15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8" i="1"/>
  <c r="C37" i="1"/>
  <c r="C36" i="1"/>
  <c r="C35" i="1"/>
  <c r="C34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andypugh</author>
  </authors>
  <commentList>
    <comment ref="A2" authorId="0" shapeId="0" xr:uid="{E5669B41-29C4-6E49-94BA-CBEE00F55AFF}">
      <text>
        <r>
          <rPr>
            <b/>
            <sz val="10"/>
            <color rgb="FF000000"/>
            <rFont val="Tahoma"/>
            <family val="2"/>
          </rPr>
          <t xml:space="preserve">in
</t>
        </r>
        <r>
          <rPr>
            <b/>
            <sz val="10"/>
            <color rgb="FF000000"/>
            <rFont val="Tahoma"/>
            <family val="2"/>
          </rPr>
          <t xml:space="preserve">mm
</t>
        </r>
      </text>
    </comment>
    <comment ref="A5" authorId="0" shapeId="0" xr:uid="{33C94723-D107-5C46-B7D9-C49F7957D99B}">
      <text>
        <r>
          <rPr>
            <b/>
            <sz val="10"/>
            <color rgb="FF000000"/>
            <rFont val="Tahoma"/>
            <family val="2"/>
          </rPr>
          <t xml:space="preserve">0 Trapezoid
</t>
        </r>
        <r>
          <rPr>
            <b/>
            <sz val="10"/>
            <color rgb="FF000000"/>
            <rFont val="Tahoma"/>
            <family val="2"/>
          </rPr>
          <t xml:space="preserve">1 Sharp
</t>
        </r>
        <r>
          <rPr>
            <b/>
            <sz val="10"/>
            <color rgb="FF000000"/>
            <rFont val="Tahoma"/>
            <family val="2"/>
          </rPr>
          <t xml:space="preserve">5 Square
</t>
        </r>
        <r>
          <rPr>
            <b/>
            <sz val="10"/>
            <color rgb="FF000000"/>
            <rFont val="Tahoma"/>
            <family val="2"/>
          </rPr>
          <t>7 Whitworth</t>
        </r>
      </text>
    </comment>
  </commentList>
</comments>
</file>

<file path=xl/sharedStrings.xml><?xml version="1.0" encoding="utf-8"?>
<sst xmlns="http://schemas.openxmlformats.org/spreadsheetml/2006/main" count="115" uniqueCount="52">
  <si>
    <t>Angle</t>
  </si>
  <si>
    <t>ThreadForm</t>
  </si>
  <si>
    <t>Name</t>
  </si>
  <si>
    <t>Unit</t>
  </si>
  <si>
    <t>SortOrder</t>
  </si>
  <si>
    <t>Size</t>
  </si>
  <si>
    <t>ThreadDesignation</t>
  </si>
  <si>
    <t>CTD</t>
  </si>
  <si>
    <t>TPI</t>
  </si>
  <si>
    <t>Class</t>
  </si>
  <si>
    <t>MajorDia</t>
  </si>
  <si>
    <t>PitchDia</t>
  </si>
  <si>
    <t>MinorDia</t>
  </si>
  <si>
    <t>TapDrill</t>
  </si>
  <si>
    <t>external</t>
  </si>
  <si>
    <t>internal</t>
  </si>
  <si>
    <t>Whitworth</t>
  </si>
  <si>
    <t>in</t>
  </si>
  <si>
    <r>
      <t>1</t>
    </r>
    <r>
      <rPr>
        <sz val="5"/>
        <color theme="1"/>
        <rFont val="CentITCBkBT"/>
      </rPr>
      <t xml:space="preserve">1 - </t>
    </r>
  </si>
  <si>
    <r>
      <t xml:space="preserve">A) </t>
    </r>
    <r>
      <rPr>
        <sz val="9"/>
        <color theme="1"/>
        <rFont val="CentITCBkBT"/>
      </rPr>
      <t xml:space="preserve">Dimensionally, the </t>
    </r>
    <r>
      <rPr>
        <sz val="5"/>
        <color theme="1"/>
        <rFont val="CentITCBkBT"/>
      </rPr>
      <t xml:space="preserve">1- </t>
    </r>
    <r>
      <rPr>
        <sz val="9"/>
        <color theme="1"/>
        <rFont val="CentITCBkBT"/>
      </rPr>
      <t xml:space="preserve">in × 40 t.p.i. thread belongs more appropriately to the B.S.F. series, but it has for so long been </t>
    </r>
    <r>
      <rPr>
        <sz val="5"/>
        <color theme="1"/>
        <rFont val="CentITCBkBT"/>
      </rPr>
      <t xml:space="preserve">8 </t>
    </r>
  </si>
  <si>
    <t xml:space="preserve">associated with the B.S.W. series that it is now included here. </t>
  </si>
  <si>
    <t>1/8</t>
  </si>
  <si>
    <t>3/16</t>
  </si>
  <si>
    <t>1/4</t>
  </si>
  <si>
    <t>5/16</t>
  </si>
  <si>
    <t>3/8</t>
  </si>
  <si>
    <t>7/16</t>
  </si>
  <si>
    <t>1/2</t>
  </si>
  <si>
    <t>9/16</t>
  </si>
  <si>
    <t>5/8</t>
  </si>
  <si>
    <t>11/16</t>
  </si>
  <si>
    <t>3/4</t>
  </si>
  <si>
    <t>7/8</t>
  </si>
  <si>
    <t>1</t>
  </si>
  <si>
    <t>1 1/8</t>
  </si>
  <si>
    <t>1 1/2</t>
  </si>
  <si>
    <t>1 1/4</t>
  </si>
  <si>
    <t>1 3/4</t>
  </si>
  <si>
    <t>2</t>
  </si>
  <si>
    <t>2 1/2</t>
  </si>
  <si>
    <t>2 1/4</t>
  </si>
  <si>
    <t>2 3/4</t>
  </si>
  <si>
    <t>3</t>
  </si>
  <si>
    <t>3 1/4</t>
  </si>
  <si>
    <t>3 1/2</t>
  </si>
  <si>
    <t>3 3/4</t>
  </si>
  <si>
    <t>4</t>
  </si>
  <si>
    <t>4 1/2</t>
  </si>
  <si>
    <t>5</t>
  </si>
  <si>
    <t>5 1/2</t>
  </si>
  <si>
    <t>6</t>
  </si>
  <si>
    <t>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</si>
</sst>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9"/>
      <color theme="1"/>
      <name val="CentITCBkBT,Bold"/>
    </font>
    <font>
      <sz val="9"/>
      <color theme="1"/>
      <name val="CentITCBkBT"/>
    </font>
    <font>
      <sz val="5"/>
      <color theme="1"/>
      <name val="CentITCBkBT"/>
    </font>
    <font>
      <sz val="6"/>
      <color theme="1"/>
      <name val="CentITCBkBT"/>
    </font>
    <font>
      <sz val="8"/>
      <color theme="1"/>
      <name val="CentITCBkBT"/>
    </font>
    <font>
      <sz val="12"/>
      <color theme="1"/>
      <name val="-webkit-standard"/>
    </font>
    <font>
      <sz val="10"/>
      <color theme="1"/>
      <name val="-webkit-standard"/>
    </font>
    <font>
      <b/>
      <sz val="10"/>
      <color rgb="FFFF0000"/>
      <name val="-webkit-standard"/>
    </font>
    <font>
      <sz val="9.6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8" fillId="0" borderId="0" xfId="0" applyFont="1"/>
    <xf numFmtId="0" fontId="7" fillId="0" borderId="0" xfId="0" applyFont="1"/>
    <xf numFmtId="17" fontId="8" fillId="0" borderId="0" xfId="0" applyNumberFormat="1" applyFont="1"/>
    <xf numFmtId="16" fontId="8" fillId="0" borderId="0" xfId="0" applyNumberFormat="1" applyFont="1"/>
    <xf numFmtId="13" fontId="8" fillId="0" borderId="0" xfId="0" applyNumberFormat="1" applyFont="1"/>
    <xf numFmtId="16" fontId="10" fillId="0" borderId="0" xfId="0" applyNumberFormat="1" applyFont="1"/>
    <xf numFmtId="0" fontId="10" fillId="0" borderId="0" xfId="0" applyFont="1"/>
    <xf numFmtId="12" fontId="1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" fontId="0" fillId="0" borderId="0" xfId="0" quotePrefix="1" applyNumberFormat="1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17" fontId="0" fillId="0" borderId="0" xfId="0" quotePrefix="1" applyNumberFormat="1" applyAlignment="1">
      <alignment horizontal="center"/>
    </xf>
    <xf numFmtId="12" fontId="0" fillId="0" borderId="0" xfId="0" quotePrefix="1" applyNumberForma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7" fontId="9" fillId="0" borderId="0" xfId="0" applyNumberFormat="1" applyFont="1" applyAlignment="1">
      <alignment horizontal="center"/>
    </xf>
    <xf numFmtId="16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2" fontId="9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9</xdr:row>
      <xdr:rowOff>0</xdr:rowOff>
    </xdr:from>
    <xdr:to>
      <xdr:col>11</xdr:col>
      <xdr:colOff>749300</xdr:colOff>
      <xdr:row>9</xdr:row>
      <xdr:rowOff>12700</xdr:rowOff>
    </xdr:to>
    <xdr:pic>
      <xdr:nvPicPr>
        <xdr:cNvPr id="4" name="Picture 3" descr="page21image20833280">
          <a:extLst>
            <a:ext uri="{FF2B5EF4-FFF2-40B4-BE49-F238E27FC236}">
              <a16:creationId xmlns:a16="http://schemas.microsoft.com/office/drawing/2014/main" id="{B30819A5-AE73-2947-9A52-F0506BFA6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0" y="1828800"/>
          <a:ext cx="749300" cy="1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749300</xdr:colOff>
      <xdr:row>9</xdr:row>
      <xdr:rowOff>0</xdr:rowOff>
    </xdr:to>
    <xdr:pic>
      <xdr:nvPicPr>
        <xdr:cNvPr id="5" name="Picture 4" descr="page21image20833088">
          <a:extLst>
            <a:ext uri="{FF2B5EF4-FFF2-40B4-BE49-F238E27FC236}">
              <a16:creationId xmlns:a16="http://schemas.microsoft.com/office/drawing/2014/main" id="{BD9E0144-9C13-144A-AC74-3C0300720B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0" y="1828800"/>
          <a:ext cx="74930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3D3C7-4969-BF42-9F94-A83224582493}">
  <sheetPr codeName="Sheet1"/>
  <dimension ref="A1:V108"/>
  <sheetViews>
    <sheetView tabSelected="1" workbookViewId="0">
      <selection activeCell="E7" sqref="E7"/>
    </sheetView>
  </sheetViews>
  <sheetFormatPr defaultColWidth="11" defaultRowHeight="15.75"/>
  <cols>
    <col min="1" max="15" width="11" style="13"/>
  </cols>
  <sheetData>
    <row r="1" spans="1:18">
      <c r="A1" s="13" t="s">
        <v>2</v>
      </c>
      <c r="B1" s="13" t="s">
        <v>16</v>
      </c>
    </row>
    <row r="2" spans="1:18">
      <c r="A2" s="13" t="s">
        <v>3</v>
      </c>
      <c r="B2" s="13" t="s">
        <v>17</v>
      </c>
    </row>
    <row r="3" spans="1:18">
      <c r="A3" s="13" t="s">
        <v>0</v>
      </c>
      <c r="B3" s="13">
        <v>55</v>
      </c>
    </row>
    <row r="4" spans="1:18">
      <c r="A4" s="13" t="s">
        <v>4</v>
      </c>
      <c r="B4" s="13">
        <v>19</v>
      </c>
    </row>
    <row r="5" spans="1:18">
      <c r="A5" s="13" t="s">
        <v>1</v>
      </c>
      <c r="B5" s="13">
        <v>7</v>
      </c>
    </row>
    <row r="6" spans="1:18">
      <c r="F6" s="14" t="s">
        <v>14</v>
      </c>
      <c r="G6" s="14"/>
      <c r="H6" s="14"/>
      <c r="I6" s="14"/>
      <c r="J6" s="14" t="s">
        <v>15</v>
      </c>
      <c r="K6" s="14"/>
      <c r="L6" s="14"/>
      <c r="M6" s="14"/>
      <c r="N6" s="14"/>
    </row>
    <row r="7" spans="1:18">
      <c r="B7" s="13" t="s">
        <v>5</v>
      </c>
      <c r="C7" s="13" t="s">
        <v>6</v>
      </c>
      <c r="D7" s="13" t="s">
        <v>7</v>
      </c>
      <c r="E7" s="13" t="s">
        <v>8</v>
      </c>
      <c r="F7" s="13" t="s">
        <v>9</v>
      </c>
      <c r="G7" s="13" t="s">
        <v>10</v>
      </c>
      <c r="H7" s="13" t="s">
        <v>11</v>
      </c>
      <c r="I7" s="13" t="s">
        <v>12</v>
      </c>
      <c r="J7" s="13" t="s">
        <v>9</v>
      </c>
      <c r="K7" s="13" t="s">
        <v>10</v>
      </c>
      <c r="L7" s="13" t="s">
        <v>11</v>
      </c>
      <c r="M7" s="13" t="s">
        <v>12</v>
      </c>
      <c r="N7" s="13" t="s">
        <v>13</v>
      </c>
    </row>
    <row r="8" spans="1:18">
      <c r="B8" s="15" t="s">
        <v>21</v>
      </c>
      <c r="C8" s="16" t="str">
        <f>B8 &amp; " BSW"</f>
        <v>1/8 BSW</v>
      </c>
      <c r="D8" s="16" t="str">
        <f>B8 &amp;" - "&amp;E8&amp;" BSW"</f>
        <v>1/8 - 40 BSW</v>
      </c>
      <c r="E8" s="13">
        <v>40</v>
      </c>
      <c r="F8" s="13" t="s">
        <v>51</v>
      </c>
      <c r="G8" s="13">
        <v>0.12154999999999999</v>
      </c>
      <c r="H8" s="13">
        <v>0.10635</v>
      </c>
      <c r="I8" s="13">
        <v>8.8750000000000009E-2</v>
      </c>
      <c r="J8" s="13" t="s">
        <v>51</v>
      </c>
      <c r="K8" s="13">
        <v>0.125</v>
      </c>
      <c r="L8" s="13">
        <v>0.11115</v>
      </c>
      <c r="M8" s="13">
        <v>9.7499999999999989E-2</v>
      </c>
      <c r="N8" s="13">
        <f t="array" ref="N8:N37">O8:O37/25.4</f>
        <v>0.10236220472440946</v>
      </c>
      <c r="O8" s="13">
        <v>2.6</v>
      </c>
      <c r="P8" s="10"/>
      <c r="Q8" s="11"/>
      <c r="R8" s="11"/>
    </row>
    <row r="9" spans="1:18">
      <c r="B9" s="17" t="s">
        <v>22</v>
      </c>
      <c r="C9" s="16" t="str">
        <f t="shared" ref="C9:C37" si="0">B9 &amp; " BSW"</f>
        <v>3/16 BSW</v>
      </c>
      <c r="D9" s="16" t="str">
        <f t="shared" ref="D9:D37" si="1">B9 &amp;" - "&amp;E9&amp;" BSW"</f>
        <v>3/16 - 24 BSW</v>
      </c>
      <c r="E9" s="13">
        <v>24</v>
      </c>
      <c r="F9" s="13" t="s">
        <v>51</v>
      </c>
      <c r="G9" s="13">
        <v>0.18354999999999999</v>
      </c>
      <c r="H9" s="13">
        <v>0.15784999999999999</v>
      </c>
      <c r="I9" s="13">
        <v>0.12909999999999999</v>
      </c>
      <c r="J9" s="13" t="s">
        <v>51</v>
      </c>
      <c r="K9" s="13">
        <v>0.1875</v>
      </c>
      <c r="L9" s="13">
        <v>0.16340000000000002</v>
      </c>
      <c r="M9" s="13">
        <v>0.14075000000000001</v>
      </c>
      <c r="N9" s="13">
        <v>0.1456692913385827</v>
      </c>
      <c r="O9" s="13">
        <v>3.7</v>
      </c>
      <c r="P9" s="10"/>
      <c r="Q9" s="11"/>
      <c r="R9" s="11"/>
    </row>
    <row r="10" spans="1:18">
      <c r="B10" s="17" t="s">
        <v>23</v>
      </c>
      <c r="C10" s="16" t="str">
        <f t="shared" si="0"/>
        <v>1/4 BSW</v>
      </c>
      <c r="D10" s="16" t="str">
        <f t="shared" si="1"/>
        <v>1/4 - 20 BSW</v>
      </c>
      <c r="E10" s="13">
        <v>20</v>
      </c>
      <c r="F10" s="13" t="s">
        <v>51</v>
      </c>
      <c r="G10" s="13">
        <v>0.24575</v>
      </c>
      <c r="H10" s="13">
        <v>0.21484999999999999</v>
      </c>
      <c r="I10" s="13">
        <v>0.18059999999999998</v>
      </c>
      <c r="J10" s="13" t="s">
        <v>51</v>
      </c>
      <c r="K10" s="13">
        <v>0.25</v>
      </c>
      <c r="L10" s="13">
        <v>0.22089999999999999</v>
      </c>
      <c r="M10" s="13">
        <v>0.19450000000000001</v>
      </c>
      <c r="N10" s="13">
        <v>0.20078740157480315</v>
      </c>
      <c r="O10" s="13">
        <v>5.0999999999999996</v>
      </c>
      <c r="P10" s="10"/>
      <c r="Q10" s="11"/>
      <c r="R10" s="11"/>
    </row>
    <row r="11" spans="1:18">
      <c r="B11" s="18" t="s">
        <v>24</v>
      </c>
      <c r="C11" s="16" t="str">
        <f t="shared" si="0"/>
        <v>5/16 BSW</v>
      </c>
      <c r="D11" s="16" t="str">
        <f t="shared" si="1"/>
        <v>5/16 - 18 BSW</v>
      </c>
      <c r="E11" s="13">
        <v>18</v>
      </c>
      <c r="F11" s="13" t="s">
        <v>51</v>
      </c>
      <c r="G11" s="13">
        <v>0.30789999999999995</v>
      </c>
      <c r="H11" s="13">
        <v>0.27350000000000002</v>
      </c>
      <c r="I11" s="13">
        <v>0.23554999999999998</v>
      </c>
      <c r="J11" s="13" t="s">
        <v>51</v>
      </c>
      <c r="K11" s="13">
        <v>0.3125</v>
      </c>
      <c r="L11" s="13">
        <v>0.28005000000000002</v>
      </c>
      <c r="M11" s="13">
        <v>0.25035000000000002</v>
      </c>
      <c r="N11" s="13">
        <v>0.25590551181102361</v>
      </c>
      <c r="O11" s="13">
        <v>6.5</v>
      </c>
      <c r="P11" s="10"/>
      <c r="Q11" s="11"/>
      <c r="R11" s="11"/>
    </row>
    <row r="12" spans="1:18">
      <c r="B12" s="17" t="s">
        <v>25</v>
      </c>
      <c r="C12" s="16" t="str">
        <f t="shared" si="0"/>
        <v>3/8 BSW</v>
      </c>
      <c r="D12" s="16" t="str">
        <f t="shared" si="1"/>
        <v>3/8 - 16 BSW</v>
      </c>
      <c r="E12" s="13">
        <v>16</v>
      </c>
      <c r="F12" s="13" t="s">
        <v>51</v>
      </c>
      <c r="G12" s="13">
        <v>0.37009999999999998</v>
      </c>
      <c r="H12" s="13">
        <v>0.33135000000000003</v>
      </c>
      <c r="I12" s="13">
        <v>0.28885000000000005</v>
      </c>
      <c r="J12" s="13" t="s">
        <v>51</v>
      </c>
      <c r="K12" s="13">
        <v>0.375</v>
      </c>
      <c r="L12" s="13">
        <v>0.33839999999999998</v>
      </c>
      <c r="M12" s="13">
        <v>0.30475000000000002</v>
      </c>
      <c r="N12" s="13">
        <v>0.31496062992125984</v>
      </c>
      <c r="O12" s="13">
        <v>8</v>
      </c>
      <c r="P12" s="10"/>
      <c r="Q12" s="11"/>
      <c r="R12" s="11"/>
    </row>
    <row r="13" spans="1:18">
      <c r="B13" s="17" t="s">
        <v>26</v>
      </c>
      <c r="C13" s="16" t="str">
        <f t="shared" si="0"/>
        <v>7/16 BSW</v>
      </c>
      <c r="D13" s="16" t="str">
        <f t="shared" si="1"/>
        <v>7/16 - 14 BSW</v>
      </c>
      <c r="E13" s="13">
        <v>14</v>
      </c>
      <c r="F13" s="13" t="s">
        <v>51</v>
      </c>
      <c r="G13" s="13">
        <v>0.43225000000000002</v>
      </c>
      <c r="H13" s="13">
        <v>0.38789999999999997</v>
      </c>
      <c r="I13" s="13">
        <v>0.33955000000000002</v>
      </c>
      <c r="J13" s="13" t="s">
        <v>51</v>
      </c>
      <c r="K13" s="13">
        <v>0.4375</v>
      </c>
      <c r="L13" s="13">
        <v>0.39545000000000002</v>
      </c>
      <c r="M13" s="13">
        <v>0.35675000000000001</v>
      </c>
      <c r="N13" s="13">
        <v>0.36614173228346464</v>
      </c>
      <c r="O13" s="13">
        <v>9.3000000000000007</v>
      </c>
      <c r="P13" s="10"/>
      <c r="Q13" s="11"/>
      <c r="R13" s="11"/>
    </row>
    <row r="14" spans="1:18">
      <c r="B14" s="17" t="s">
        <v>27</v>
      </c>
      <c r="C14" s="16" t="str">
        <f t="shared" si="0"/>
        <v>1/2 BSW</v>
      </c>
      <c r="D14" s="16" t="str">
        <f t="shared" si="1"/>
        <v>1/2 - 12 BSW</v>
      </c>
      <c r="E14" s="13">
        <v>12</v>
      </c>
      <c r="F14" s="13" t="s">
        <v>51</v>
      </c>
      <c r="G14" s="13">
        <v>0.49445</v>
      </c>
      <c r="H14" s="13">
        <v>0.4425</v>
      </c>
      <c r="I14" s="13">
        <v>0.38619999999999999</v>
      </c>
      <c r="J14" s="13" t="s">
        <v>51</v>
      </c>
      <c r="K14" s="13">
        <v>0.5</v>
      </c>
      <c r="L14" s="13">
        <v>0.45044999999999996</v>
      </c>
      <c r="M14" s="13">
        <v>0.40505000000000002</v>
      </c>
      <c r="N14" s="13">
        <v>0.41338582677165359</v>
      </c>
      <c r="O14" s="13">
        <v>10.5</v>
      </c>
      <c r="P14" s="10"/>
      <c r="Q14" s="11"/>
      <c r="R14" s="11"/>
    </row>
    <row r="15" spans="1:18">
      <c r="B15" s="18" t="s">
        <v>28</v>
      </c>
      <c r="C15" s="16" t="str">
        <f t="shared" si="0"/>
        <v>9/16 BSW</v>
      </c>
      <c r="D15" s="16" t="str">
        <f t="shared" si="1"/>
        <v>9/16 - 12 BSW</v>
      </c>
      <c r="E15" s="13">
        <v>12</v>
      </c>
      <c r="F15" s="13" t="s">
        <v>51</v>
      </c>
      <c r="G15" s="13">
        <v>0.55679999999999996</v>
      </c>
      <c r="H15" s="13">
        <v>0.50484999999999991</v>
      </c>
      <c r="I15" s="13">
        <v>0.44855</v>
      </c>
      <c r="J15" s="13" t="s">
        <v>51</v>
      </c>
      <c r="K15" s="13">
        <v>0.5625</v>
      </c>
      <c r="L15" s="13">
        <v>0.5131</v>
      </c>
      <c r="M15" s="13">
        <v>0.46755000000000002</v>
      </c>
      <c r="N15" s="13">
        <v>0.4763779527559055</v>
      </c>
      <c r="O15" s="13">
        <v>12.1</v>
      </c>
      <c r="P15" s="11"/>
      <c r="Q15" s="11"/>
      <c r="R15" s="11"/>
    </row>
    <row r="16" spans="1:18">
      <c r="B16" s="15" t="s">
        <v>29</v>
      </c>
      <c r="C16" s="16" t="str">
        <f t="shared" si="0"/>
        <v>5/8 BSW</v>
      </c>
      <c r="D16" s="16" t="str">
        <f t="shared" si="1"/>
        <v>5/8 - 11 BSW</v>
      </c>
      <c r="E16" s="13">
        <v>11</v>
      </c>
      <c r="F16" s="13" t="s">
        <v>51</v>
      </c>
      <c r="G16" s="13">
        <v>0.61899999999999999</v>
      </c>
      <c r="H16" s="13">
        <v>0.56230000000000002</v>
      </c>
      <c r="I16" s="13">
        <v>0.50109999999999999</v>
      </c>
      <c r="J16" s="13" t="s">
        <v>51</v>
      </c>
      <c r="K16" s="13">
        <v>0.625</v>
      </c>
      <c r="L16" s="13">
        <v>0.57100000000000006</v>
      </c>
      <c r="M16" s="13">
        <v>0.52120000000000011</v>
      </c>
      <c r="N16" s="13">
        <v>0.53149606299212604</v>
      </c>
      <c r="O16" s="13">
        <v>13.5</v>
      </c>
      <c r="P16" s="12"/>
      <c r="Q16" s="11"/>
      <c r="R16" s="11"/>
    </row>
    <row r="17" spans="2:18">
      <c r="B17" s="18" t="s">
        <v>30</v>
      </c>
      <c r="C17" s="16" t="str">
        <f t="shared" si="0"/>
        <v>11/16 BSW</v>
      </c>
      <c r="D17" s="16" t="str">
        <f t="shared" si="1"/>
        <v>11/16 - 11 BSW</v>
      </c>
      <c r="E17" s="13">
        <v>11</v>
      </c>
      <c r="F17" s="13" t="s">
        <v>51</v>
      </c>
      <c r="G17" s="13">
        <v>0.68140000000000001</v>
      </c>
      <c r="H17" s="13">
        <v>0.62470000000000003</v>
      </c>
      <c r="I17" s="13">
        <v>0.5635</v>
      </c>
      <c r="J17" s="13" t="s">
        <v>51</v>
      </c>
      <c r="K17" s="13">
        <v>0.6875</v>
      </c>
      <c r="L17" s="13">
        <v>0.63360000000000005</v>
      </c>
      <c r="M17" s="13">
        <v>0.58370000000000011</v>
      </c>
      <c r="N17" s="13">
        <v>0.59448818897637801</v>
      </c>
      <c r="O17" s="13">
        <v>15.1</v>
      </c>
      <c r="P17" s="12"/>
      <c r="Q17" s="11"/>
      <c r="R17" s="11"/>
    </row>
    <row r="18" spans="2:18">
      <c r="B18" s="15" t="s">
        <v>31</v>
      </c>
      <c r="C18" s="16" t="str">
        <f t="shared" si="0"/>
        <v>3/4 BSW</v>
      </c>
      <c r="D18" s="16" t="str">
        <f t="shared" si="1"/>
        <v>3/4 - 10 BSW</v>
      </c>
      <c r="E18" s="13">
        <v>10</v>
      </c>
      <c r="F18" s="13" t="s">
        <v>51</v>
      </c>
      <c r="G18" s="13">
        <v>0.74359999999999993</v>
      </c>
      <c r="H18" s="13">
        <v>0.68120000000000003</v>
      </c>
      <c r="I18" s="13">
        <v>0.61404999999999998</v>
      </c>
      <c r="J18" s="13" t="s">
        <v>51</v>
      </c>
      <c r="K18" s="13">
        <v>0.75</v>
      </c>
      <c r="L18" s="13">
        <v>0.6905</v>
      </c>
      <c r="M18" s="13">
        <v>0.63550000000000006</v>
      </c>
      <c r="N18" s="13">
        <v>0.63976377952755914</v>
      </c>
      <c r="O18" s="13">
        <v>16.25</v>
      </c>
      <c r="P18" s="12"/>
      <c r="Q18" s="11"/>
      <c r="R18" s="11"/>
    </row>
    <row r="19" spans="2:18">
      <c r="B19" s="17" t="s">
        <v>32</v>
      </c>
      <c r="C19" s="16" t="str">
        <f t="shared" si="0"/>
        <v>7/8 BSW</v>
      </c>
      <c r="D19" s="16" t="str">
        <f t="shared" si="1"/>
        <v>7/8 - 9 BSW</v>
      </c>
      <c r="E19" s="13">
        <v>9</v>
      </c>
      <c r="F19" s="13" t="s">
        <v>51</v>
      </c>
      <c r="G19" s="13">
        <v>0.87014999999999998</v>
      </c>
      <c r="H19" s="13">
        <v>0.80069999999999997</v>
      </c>
      <c r="I19" s="13">
        <v>0.72625000000000006</v>
      </c>
      <c r="J19" s="13" t="s">
        <v>51</v>
      </c>
      <c r="K19" s="13">
        <v>0.875</v>
      </c>
      <c r="L19" s="13">
        <v>0.80869999999999997</v>
      </c>
      <c r="M19" s="13">
        <v>0.74740000000000006</v>
      </c>
      <c r="N19" s="13">
        <v>0.75787401574803159</v>
      </c>
      <c r="O19" s="13">
        <v>19.25</v>
      </c>
      <c r="P19" s="11"/>
      <c r="Q19" s="12"/>
      <c r="R19" s="11"/>
    </row>
    <row r="20" spans="2:18">
      <c r="B20" s="17" t="s">
        <v>33</v>
      </c>
      <c r="C20" s="16" t="str">
        <f t="shared" si="0"/>
        <v>1 BSW</v>
      </c>
      <c r="D20" s="16" t="str">
        <f t="shared" si="1"/>
        <v>1 - 8 BSW</v>
      </c>
      <c r="E20" s="13">
        <v>8</v>
      </c>
      <c r="F20" s="13" t="s">
        <v>51</v>
      </c>
      <c r="G20" s="13">
        <v>0.99485000000000001</v>
      </c>
      <c r="H20" s="13">
        <v>0.91660000000000008</v>
      </c>
      <c r="I20" s="13">
        <v>0.83304999999999996</v>
      </c>
      <c r="J20" s="13" t="s">
        <v>51</v>
      </c>
      <c r="K20" s="13">
        <v>1</v>
      </c>
      <c r="L20" s="13">
        <v>0.92510000000000003</v>
      </c>
      <c r="M20" s="13">
        <v>0.85599999999999998</v>
      </c>
      <c r="N20" s="13">
        <v>0.86614173228346458</v>
      </c>
      <c r="O20" s="13">
        <v>22</v>
      </c>
      <c r="P20" s="12"/>
      <c r="Q20" s="11"/>
      <c r="R20" s="11"/>
    </row>
    <row r="21" spans="2:18">
      <c r="B21" s="19" t="s">
        <v>34</v>
      </c>
      <c r="C21" s="16" t="str">
        <f t="shared" si="0"/>
        <v>1 1/8 BSW</v>
      </c>
      <c r="D21" s="16" t="str">
        <f t="shared" si="1"/>
        <v>1 1/8 - 7 BSW</v>
      </c>
      <c r="E21" s="13">
        <v>7</v>
      </c>
      <c r="F21" s="13" t="s">
        <v>51</v>
      </c>
      <c r="G21" s="13">
        <v>1.1194999999999999</v>
      </c>
      <c r="H21" s="13">
        <v>1.0299</v>
      </c>
      <c r="I21" s="13">
        <v>0.93459999999999999</v>
      </c>
      <c r="J21" s="13" t="s">
        <v>51</v>
      </c>
      <c r="K21" s="13">
        <v>1.125</v>
      </c>
      <c r="L21" s="13">
        <v>1.0388500000000001</v>
      </c>
      <c r="M21" s="13">
        <v>0.95979999999999999</v>
      </c>
      <c r="N21" s="13">
        <v>0.97440944881889768</v>
      </c>
      <c r="O21" s="13">
        <v>24.75</v>
      </c>
      <c r="P21" s="12"/>
      <c r="Q21" s="11"/>
      <c r="R21" s="11"/>
    </row>
    <row r="22" spans="2:18">
      <c r="B22" s="17" t="s">
        <v>36</v>
      </c>
      <c r="C22" s="16" t="str">
        <f t="shared" si="0"/>
        <v>1 1/4 BSW</v>
      </c>
      <c r="D22" s="16" t="str">
        <f t="shared" si="1"/>
        <v>1 1/4 - 7 BSW</v>
      </c>
      <c r="E22" s="13">
        <v>7</v>
      </c>
      <c r="F22" s="13" t="s">
        <v>51</v>
      </c>
      <c r="G22" s="13">
        <v>1.2444</v>
      </c>
      <c r="H22" s="13">
        <v>1.1548</v>
      </c>
      <c r="I22" s="13">
        <v>1.0594999999999999</v>
      </c>
      <c r="J22" s="13" t="s">
        <v>51</v>
      </c>
      <c r="K22" s="13">
        <v>1.25</v>
      </c>
      <c r="L22" s="13">
        <v>1.16405</v>
      </c>
      <c r="M22" s="13">
        <v>1.0848</v>
      </c>
      <c r="N22" s="13">
        <v>1.1023622047244095</v>
      </c>
      <c r="O22" s="13">
        <v>28</v>
      </c>
      <c r="P22" s="12"/>
      <c r="Q22" s="12"/>
      <c r="R22" s="11"/>
    </row>
    <row r="23" spans="2:18">
      <c r="B23" s="17" t="s">
        <v>35</v>
      </c>
      <c r="C23" s="16" t="str">
        <f t="shared" si="0"/>
        <v>1 1/2 BSW</v>
      </c>
      <c r="D23" s="16" t="str">
        <f t="shared" si="1"/>
        <v>1 1/2 - 6 BSW</v>
      </c>
      <c r="E23" s="13">
        <v>6</v>
      </c>
      <c r="F23" s="13" t="s">
        <v>51</v>
      </c>
      <c r="G23" s="13">
        <v>1.4939499999999999</v>
      </c>
      <c r="H23" s="13">
        <v>1.3893</v>
      </c>
      <c r="I23" s="13">
        <v>1.2785</v>
      </c>
      <c r="J23" s="13" t="s">
        <v>51</v>
      </c>
      <c r="K23" s="13">
        <v>1.5</v>
      </c>
      <c r="L23" s="13">
        <v>1.3993</v>
      </c>
      <c r="M23" s="13">
        <v>1.3067500000000001</v>
      </c>
      <c r="N23" s="13">
        <v>1.3188976377952757</v>
      </c>
      <c r="O23" s="13">
        <v>33.5</v>
      </c>
      <c r="P23" s="11"/>
      <c r="Q23" s="12"/>
      <c r="R23" s="11"/>
    </row>
    <row r="24" spans="2:18">
      <c r="B24" s="17" t="s">
        <v>37</v>
      </c>
      <c r="C24" s="16" t="str">
        <f t="shared" si="0"/>
        <v>1 3/4 BSW</v>
      </c>
      <c r="D24" s="16" t="str">
        <f t="shared" si="1"/>
        <v>1 3/4 - 5 BSW</v>
      </c>
      <c r="E24" s="13">
        <v>5</v>
      </c>
      <c r="F24" s="13" t="s">
        <v>51</v>
      </c>
      <c r="G24" s="13">
        <v>1.7434499999999999</v>
      </c>
      <c r="H24" s="13">
        <v>1.6175999999999999</v>
      </c>
      <c r="I24" s="13">
        <v>1.48505</v>
      </c>
      <c r="J24" s="13" t="s">
        <v>51</v>
      </c>
      <c r="K24" s="13">
        <v>1.75</v>
      </c>
      <c r="L24" s="13">
        <v>1.62835</v>
      </c>
      <c r="M24" s="13">
        <v>1.5172999999999999</v>
      </c>
      <c r="N24" s="13">
        <v>1.5354330708661419</v>
      </c>
      <c r="O24" s="13">
        <v>39</v>
      </c>
      <c r="P24" s="12"/>
      <c r="Q24" s="12"/>
      <c r="R24" s="11"/>
    </row>
    <row r="25" spans="2:18">
      <c r="B25" s="17" t="s">
        <v>38</v>
      </c>
      <c r="C25" s="16" t="str">
        <f t="shared" si="0"/>
        <v>2 BSW</v>
      </c>
      <c r="D25" s="16" t="str">
        <f t="shared" si="1"/>
        <v>2 - 4.5 BSW</v>
      </c>
      <c r="E25" s="13">
        <v>4.5</v>
      </c>
      <c r="F25" s="13" t="s">
        <v>51</v>
      </c>
      <c r="G25" s="13">
        <v>1.9931000000000001</v>
      </c>
      <c r="H25" s="13">
        <v>1.8531499999999999</v>
      </c>
      <c r="I25" s="13">
        <v>1.7061500000000001</v>
      </c>
      <c r="J25" s="13" t="s">
        <v>51</v>
      </c>
      <c r="K25" s="13">
        <v>2</v>
      </c>
      <c r="L25" s="13">
        <v>1.8645499999999999</v>
      </c>
      <c r="M25" s="13">
        <v>1.7410999999999999</v>
      </c>
      <c r="N25" s="13">
        <v>1.7519685039370079</v>
      </c>
      <c r="O25" s="13">
        <v>44.5</v>
      </c>
      <c r="P25" s="12"/>
      <c r="Q25" s="12"/>
      <c r="R25" s="11"/>
    </row>
    <row r="26" spans="2:18">
      <c r="B26" s="17" t="s">
        <v>40</v>
      </c>
      <c r="C26" s="16" t="str">
        <f t="shared" si="0"/>
        <v>2 1/4 BSW</v>
      </c>
      <c r="D26" s="16" t="str">
        <f t="shared" si="1"/>
        <v>2 1/4 - 4 BSW</v>
      </c>
      <c r="E26" s="13">
        <v>4</v>
      </c>
      <c r="F26" s="13" t="s">
        <v>51</v>
      </c>
      <c r="G26" s="13">
        <v>2.2427000000000001</v>
      </c>
      <c r="H26" s="13">
        <v>2.0851000000000002</v>
      </c>
      <c r="I26" s="13">
        <v>1.92</v>
      </c>
      <c r="J26" s="13" t="s">
        <v>51</v>
      </c>
      <c r="K26" s="13">
        <v>2.25</v>
      </c>
      <c r="L26" s="13">
        <v>2.0970999999999997</v>
      </c>
      <c r="M26" s="13">
        <v>1.9582999999999999</v>
      </c>
      <c r="N26" s="13">
        <v>1.9685039370078741</v>
      </c>
      <c r="O26" s="13">
        <v>50</v>
      </c>
      <c r="P26" s="12"/>
      <c r="Q26" s="11"/>
      <c r="R26" s="11"/>
    </row>
    <row r="27" spans="2:18">
      <c r="B27" s="17" t="s">
        <v>39</v>
      </c>
      <c r="C27" s="16" t="str">
        <f t="shared" si="0"/>
        <v>2 1/2 BSW</v>
      </c>
      <c r="D27" s="16" t="str">
        <f t="shared" si="1"/>
        <v>2 1/2 - 4 BSW</v>
      </c>
      <c r="E27" s="13">
        <v>4</v>
      </c>
      <c r="F27" s="13" t="s">
        <v>51</v>
      </c>
      <c r="G27" s="13">
        <v>2.4925000000000002</v>
      </c>
      <c r="H27" s="13">
        <v>2.3349000000000002</v>
      </c>
      <c r="I27" s="13">
        <v>2.1698000000000004</v>
      </c>
      <c r="J27" s="13" t="s">
        <v>51</v>
      </c>
      <c r="K27" s="13">
        <v>2.5</v>
      </c>
      <c r="L27" s="13">
        <v>2.34735</v>
      </c>
      <c r="M27" s="13">
        <v>2.2082999999999999</v>
      </c>
      <c r="N27" s="13">
        <v>2.2440944881889764</v>
      </c>
      <c r="O27" s="13">
        <v>57</v>
      </c>
      <c r="P27" s="11"/>
      <c r="Q27" s="11"/>
      <c r="R27" s="11"/>
    </row>
    <row r="28" spans="2:18">
      <c r="B28" s="17" t="s">
        <v>41</v>
      </c>
      <c r="C28" s="16" t="str">
        <f t="shared" si="0"/>
        <v>2 3/4 BSW</v>
      </c>
      <c r="D28" s="16" t="str">
        <f t="shared" si="1"/>
        <v>2 3/4 - 3.5 BSW</v>
      </c>
      <c r="E28" s="13">
        <v>3.5</v>
      </c>
      <c r="F28" s="13" t="s">
        <v>51</v>
      </c>
      <c r="G28" s="13">
        <v>2.7421500000000001</v>
      </c>
      <c r="H28" s="13">
        <v>2.5618000000000003</v>
      </c>
      <c r="I28" s="13">
        <v>2.3734500000000001</v>
      </c>
      <c r="J28" s="13" t="s">
        <v>51</v>
      </c>
      <c r="K28" s="13">
        <v>2.75</v>
      </c>
      <c r="L28" s="13">
        <v>2.5748500000000001</v>
      </c>
      <c r="M28" s="13">
        <v>2.4160500000000003</v>
      </c>
      <c r="N28" s="13">
        <v>2.4015748031496065</v>
      </c>
      <c r="O28" s="13">
        <v>61</v>
      </c>
    </row>
    <row r="29" spans="2:18">
      <c r="B29" s="17" t="s">
        <v>42</v>
      </c>
      <c r="C29" s="16" t="str">
        <f t="shared" si="0"/>
        <v>3 BSW</v>
      </c>
      <c r="D29" s="16" t="str">
        <f t="shared" si="1"/>
        <v>3 - 3.5 BSW</v>
      </c>
      <c r="E29" s="13">
        <v>3.5</v>
      </c>
      <c r="F29" s="13" t="s">
        <v>51</v>
      </c>
      <c r="G29" s="13">
        <v>2.9919500000000001</v>
      </c>
      <c r="H29" s="13">
        <v>2.8116000000000003</v>
      </c>
      <c r="I29" s="13">
        <v>2.6232500000000001</v>
      </c>
      <c r="J29" s="13" t="s">
        <v>51</v>
      </c>
      <c r="K29" s="13">
        <v>3</v>
      </c>
      <c r="L29" s="13">
        <v>2.8250500000000001</v>
      </c>
      <c r="M29" s="13">
        <v>2.6660500000000003</v>
      </c>
      <c r="N29" s="13">
        <v>2.6771653543307088</v>
      </c>
      <c r="O29" s="13">
        <v>68</v>
      </c>
    </row>
    <row r="30" spans="2:18">
      <c r="B30" s="19" t="s">
        <v>43</v>
      </c>
      <c r="C30" s="16" t="str">
        <f t="shared" si="0"/>
        <v>3 1/4 BSW</v>
      </c>
      <c r="D30" s="16" t="str">
        <f t="shared" si="1"/>
        <v>3 1/4 - 3.25 BSW</v>
      </c>
      <c r="E30" s="13">
        <v>3.25</v>
      </c>
      <c r="F30" s="13" t="s">
        <v>51</v>
      </c>
      <c r="G30" s="13">
        <v>3.2416499999999999</v>
      </c>
      <c r="H30" s="13">
        <v>3.04745</v>
      </c>
      <c r="I30" s="13">
        <v>2.8449</v>
      </c>
      <c r="J30" s="13" t="s">
        <v>51</v>
      </c>
      <c r="K30" s="13">
        <v>3.25</v>
      </c>
      <c r="L30" s="13">
        <v>3.06135</v>
      </c>
      <c r="M30" s="13">
        <v>2.89025</v>
      </c>
      <c r="N30" s="13">
        <v>2.9035433070866143</v>
      </c>
      <c r="O30" s="13">
        <v>73.75</v>
      </c>
    </row>
    <row r="31" spans="2:18">
      <c r="B31" s="17" t="s">
        <v>44</v>
      </c>
      <c r="C31" s="16" t="str">
        <f t="shared" si="0"/>
        <v>3 1/2 BSW</v>
      </c>
      <c r="D31" s="16" t="str">
        <f t="shared" si="1"/>
        <v>3 1/2 - 3.25 BSW</v>
      </c>
      <c r="E31" s="13">
        <v>3.25</v>
      </c>
      <c r="F31" s="13" t="s">
        <v>51</v>
      </c>
      <c r="G31" s="13">
        <v>3.4914999999999998</v>
      </c>
      <c r="H31" s="13">
        <v>3.2972999999999999</v>
      </c>
      <c r="I31" s="13">
        <v>3.0947499999999999</v>
      </c>
      <c r="J31" s="13" t="s">
        <v>51</v>
      </c>
      <c r="K31" s="13">
        <v>3.5</v>
      </c>
      <c r="L31" s="13">
        <v>3.31155</v>
      </c>
      <c r="M31" s="13">
        <v>3.14025</v>
      </c>
      <c r="N31" s="13">
        <v>3.1496062992125986</v>
      </c>
      <c r="O31" s="13">
        <v>80</v>
      </c>
    </row>
    <row r="32" spans="2:18">
      <c r="B32" s="17" t="s">
        <v>45</v>
      </c>
      <c r="C32" s="16" t="str">
        <f t="shared" si="0"/>
        <v>3 3/4 BSW</v>
      </c>
      <c r="D32" s="16" t="str">
        <f t="shared" si="1"/>
        <v>3 3/4 - 3 BSW</v>
      </c>
      <c r="E32" s="13">
        <v>3</v>
      </c>
      <c r="F32" s="13" t="s">
        <v>51</v>
      </c>
      <c r="G32" s="13">
        <v>3.7412000000000001</v>
      </c>
      <c r="H32" s="13">
        <v>3.5306999999999999</v>
      </c>
      <c r="I32" s="13">
        <v>3.3115000000000001</v>
      </c>
      <c r="J32" s="13" t="s">
        <v>51</v>
      </c>
      <c r="K32" s="13">
        <v>3.75</v>
      </c>
      <c r="L32" s="13">
        <v>3.5454500000000002</v>
      </c>
      <c r="M32" s="13">
        <v>3.3600500000000002</v>
      </c>
      <c r="N32" s="13">
        <v>3.3661417322834648</v>
      </c>
      <c r="O32" s="13">
        <v>85.5</v>
      </c>
    </row>
    <row r="33" spans="2:22">
      <c r="B33" s="17" t="s">
        <v>46</v>
      </c>
      <c r="C33" s="16" t="str">
        <f t="shared" si="0"/>
        <v>4 BSW</v>
      </c>
      <c r="D33" s="16" t="str">
        <f t="shared" si="1"/>
        <v>4 - 3 BSW</v>
      </c>
      <c r="E33" s="13">
        <v>3</v>
      </c>
      <c r="F33" s="13" t="s">
        <v>51</v>
      </c>
      <c r="G33" s="13">
        <v>3.9910999999999999</v>
      </c>
      <c r="H33" s="13">
        <v>3.7805499999999999</v>
      </c>
      <c r="I33" s="13">
        <v>3.5613999999999999</v>
      </c>
      <c r="J33" s="13" t="s">
        <v>51</v>
      </c>
      <c r="K33" s="13">
        <v>4</v>
      </c>
      <c r="L33" s="13">
        <v>3.7956500000000002</v>
      </c>
      <c r="M33" s="13">
        <v>3.6100500000000002</v>
      </c>
      <c r="N33" s="13">
        <v>3.6220472440944884</v>
      </c>
      <c r="O33" s="13">
        <v>92</v>
      </c>
    </row>
    <row r="34" spans="2:22">
      <c r="B34" s="17" t="s">
        <v>47</v>
      </c>
      <c r="C34" s="16" t="str">
        <f t="shared" si="0"/>
        <v>4 1/2 BSW</v>
      </c>
      <c r="D34" s="16" t="str">
        <f t="shared" si="1"/>
        <v>4 1/2 - 2.875 BSW</v>
      </c>
      <c r="E34" s="13">
        <v>2.875</v>
      </c>
      <c r="F34" s="13" t="s">
        <v>51</v>
      </c>
      <c r="G34" s="13">
        <v>4.4907500000000002</v>
      </c>
      <c r="H34" s="13">
        <v>4.2709999999999999</v>
      </c>
      <c r="I34" s="13">
        <v>4.0423999999999998</v>
      </c>
      <c r="J34" s="13" t="s">
        <v>51</v>
      </c>
      <c r="K34" s="13">
        <v>4.5</v>
      </c>
      <c r="L34" s="13">
        <v>4.2867499999999996</v>
      </c>
      <c r="M34" s="13">
        <v>4.0929000000000002</v>
      </c>
      <c r="N34" s="13">
        <v>4.1259842519685037</v>
      </c>
      <c r="O34" s="13">
        <v>104.8</v>
      </c>
      <c r="Q34" s="2"/>
      <c r="R34" s="2"/>
      <c r="S34" s="2"/>
      <c r="T34" s="2"/>
      <c r="U34" s="2"/>
    </row>
    <row r="35" spans="2:22">
      <c r="B35" s="17" t="s">
        <v>48</v>
      </c>
      <c r="C35" s="16" t="str">
        <f t="shared" si="0"/>
        <v>5 BSW</v>
      </c>
      <c r="D35" s="16" t="str">
        <f t="shared" si="1"/>
        <v>5 - 2.75 BSW</v>
      </c>
      <c r="E35" s="13">
        <v>2.75</v>
      </c>
      <c r="F35" s="13" t="s">
        <v>51</v>
      </c>
      <c r="G35" s="13">
        <v>4.9904000000000002</v>
      </c>
      <c r="H35" s="13">
        <v>4.76065</v>
      </c>
      <c r="I35" s="13">
        <v>4.5217999999999998</v>
      </c>
      <c r="J35" s="13" t="s">
        <v>51</v>
      </c>
      <c r="K35" s="13">
        <v>5</v>
      </c>
      <c r="L35" s="13">
        <v>4.77705</v>
      </c>
      <c r="M35" s="13">
        <v>4.5742499999999993</v>
      </c>
      <c r="N35" s="13">
        <v>4.5866141732283463</v>
      </c>
      <c r="O35" s="13">
        <v>116.5</v>
      </c>
    </row>
    <row r="36" spans="2:22">
      <c r="B36" s="17" t="s">
        <v>49</v>
      </c>
      <c r="C36" s="16" t="str">
        <f t="shared" si="0"/>
        <v>5 1/2 BSW</v>
      </c>
      <c r="D36" s="16" t="str">
        <f t="shared" si="1"/>
        <v>5 1/2 - 2.625 BSW</v>
      </c>
      <c r="E36" s="13">
        <v>2.625</v>
      </c>
      <c r="F36" s="13" t="s">
        <v>51</v>
      </c>
      <c r="G36" s="13">
        <v>5.4901</v>
      </c>
      <c r="H36" s="13">
        <v>5.24925</v>
      </c>
      <c r="I36" s="13">
        <v>4.9992000000000001</v>
      </c>
      <c r="J36" s="13" t="s">
        <v>51</v>
      </c>
      <c r="K36" s="13">
        <v>5.5</v>
      </c>
      <c r="L36" s="13">
        <v>5.2663500000000001</v>
      </c>
      <c r="M36" s="13">
        <v>5.0537999999999998</v>
      </c>
      <c r="N36" s="13">
        <v>5.0590551181102361</v>
      </c>
      <c r="O36" s="13">
        <v>128.5</v>
      </c>
      <c r="Q36" s="2"/>
      <c r="R36" s="2"/>
      <c r="S36" s="2"/>
      <c r="T36" s="2"/>
      <c r="U36" s="2"/>
    </row>
    <row r="37" spans="2:22">
      <c r="B37" s="17" t="s">
        <v>50</v>
      </c>
      <c r="C37" s="16" t="str">
        <f t="shared" si="0"/>
        <v>6 BSW</v>
      </c>
      <c r="D37" s="16" t="str">
        <f t="shared" si="1"/>
        <v>6 - 2.5 BSW</v>
      </c>
      <c r="E37" s="13">
        <v>2.5</v>
      </c>
      <c r="F37" s="13" t="s">
        <v>51</v>
      </c>
      <c r="G37" s="13">
        <v>5.9897499999999999</v>
      </c>
      <c r="H37" s="13">
        <v>5.7368500000000004</v>
      </c>
      <c r="I37" s="13">
        <v>5.4744000000000002</v>
      </c>
      <c r="J37" s="13" t="s">
        <v>51</v>
      </c>
      <c r="K37" s="13">
        <v>6</v>
      </c>
      <c r="L37" s="13">
        <v>5.7545000000000002</v>
      </c>
      <c r="M37" s="13">
        <v>5.5312999999999999</v>
      </c>
      <c r="N37" s="13">
        <v>5.5511811023622046</v>
      </c>
      <c r="O37" s="13">
        <v>141</v>
      </c>
    </row>
    <row r="38" spans="2:22">
      <c r="P38" s="2"/>
      <c r="Q38" s="2"/>
      <c r="R38" s="2"/>
      <c r="S38" s="2"/>
      <c r="T38" s="2"/>
      <c r="U38" s="2"/>
    </row>
    <row r="39" spans="2:22">
      <c r="H39" s="20"/>
      <c r="P39" s="2"/>
    </row>
    <row r="40" spans="2:22">
      <c r="O40" s="20"/>
    </row>
    <row r="41" spans="2:22">
      <c r="P41" s="2"/>
    </row>
    <row r="42" spans="2:22">
      <c r="O42" s="20"/>
    </row>
    <row r="44" spans="2:22">
      <c r="J44" s="21"/>
      <c r="M44" s="22"/>
    </row>
    <row r="45" spans="2:22">
      <c r="M45" s="23"/>
      <c r="N45" s="22"/>
      <c r="O45" s="22"/>
      <c r="P45" s="5"/>
      <c r="Q45" s="5"/>
      <c r="R45" s="5"/>
      <c r="S45" s="6"/>
      <c r="T45" s="5"/>
      <c r="U45" s="6"/>
      <c r="V45" s="5"/>
    </row>
    <row r="46" spans="2:22">
      <c r="J46" s="21"/>
      <c r="K46" s="21"/>
      <c r="M46" s="24"/>
      <c r="N46" s="22"/>
      <c r="O46" s="22"/>
      <c r="P46" s="5"/>
      <c r="Q46" s="5"/>
      <c r="R46" s="5"/>
      <c r="S46" s="7"/>
      <c r="T46" s="5"/>
      <c r="U46" s="5"/>
      <c r="V46" s="5"/>
    </row>
    <row r="47" spans="2:22">
      <c r="M47" s="23"/>
      <c r="N47" s="22"/>
      <c r="O47" s="22"/>
      <c r="P47" s="5"/>
      <c r="Q47" s="5"/>
      <c r="R47" s="5"/>
      <c r="S47" s="7"/>
      <c r="T47" s="5"/>
      <c r="U47" s="8"/>
      <c r="V47" s="5"/>
    </row>
    <row r="48" spans="2:22">
      <c r="K48" s="21"/>
      <c r="M48" s="23"/>
      <c r="N48" s="22"/>
      <c r="O48" s="22"/>
      <c r="P48" s="5"/>
      <c r="Q48" s="5"/>
      <c r="R48" s="5"/>
      <c r="S48" s="5"/>
      <c r="T48" s="5"/>
      <c r="U48" s="5"/>
      <c r="V48" s="5"/>
    </row>
    <row r="49" spans="13:22">
      <c r="M49" s="23"/>
      <c r="N49" s="22"/>
      <c r="O49" s="22"/>
      <c r="P49" s="5"/>
      <c r="Q49" s="5"/>
      <c r="R49" s="5"/>
      <c r="S49" s="5"/>
      <c r="T49" s="5"/>
      <c r="U49" s="5"/>
      <c r="V49" s="5"/>
    </row>
    <row r="50" spans="13:22">
      <c r="M50" s="24"/>
      <c r="N50" s="22"/>
      <c r="O50" s="22"/>
      <c r="P50" s="5"/>
      <c r="Q50" s="5"/>
      <c r="R50" s="5"/>
      <c r="S50" s="5"/>
      <c r="T50" s="5"/>
      <c r="U50" s="5"/>
      <c r="V50" s="5"/>
    </row>
    <row r="51" spans="13:22">
      <c r="M51" s="23"/>
      <c r="N51" s="22"/>
      <c r="O51" s="22"/>
      <c r="P51" s="5"/>
      <c r="Q51" s="5"/>
      <c r="R51" s="5"/>
      <c r="S51" s="5"/>
      <c r="T51" s="5"/>
      <c r="U51" s="8"/>
      <c r="V51" s="5"/>
    </row>
    <row r="52" spans="13:22">
      <c r="M52" s="24"/>
      <c r="N52" s="22"/>
      <c r="O52" s="22"/>
      <c r="P52" s="5"/>
      <c r="Q52" s="5"/>
      <c r="R52" s="5"/>
      <c r="S52" s="5"/>
      <c r="T52" s="5"/>
      <c r="U52" s="7"/>
      <c r="V52" s="5"/>
    </row>
    <row r="53" spans="13:22">
      <c r="M53" s="23"/>
      <c r="N53" s="22"/>
      <c r="O53" s="22"/>
      <c r="P53" s="5"/>
      <c r="Q53" s="5"/>
      <c r="R53" s="5"/>
      <c r="S53" s="5"/>
      <c r="T53" s="5"/>
      <c r="U53" s="5"/>
      <c r="V53" s="5"/>
    </row>
    <row r="54" spans="13:22">
      <c r="M54" s="24"/>
      <c r="N54" s="22"/>
      <c r="O54" s="22"/>
      <c r="P54" s="5"/>
      <c r="Q54" s="5"/>
      <c r="R54" s="5"/>
      <c r="S54" s="5"/>
      <c r="T54" s="5"/>
      <c r="U54" s="5"/>
      <c r="V54" s="5"/>
    </row>
    <row r="55" spans="13:22">
      <c r="M55" s="23"/>
      <c r="N55" s="22"/>
      <c r="O55" s="22"/>
      <c r="P55" s="5"/>
      <c r="Q55" s="5"/>
      <c r="R55" s="5"/>
      <c r="S55" s="5"/>
      <c r="T55" s="5"/>
      <c r="U55" s="5"/>
      <c r="V55" s="5"/>
    </row>
    <row r="56" spans="13:22">
      <c r="M56" s="24"/>
      <c r="N56" s="22"/>
      <c r="O56" s="22"/>
      <c r="P56" s="5"/>
      <c r="Q56" s="5"/>
      <c r="R56" s="5"/>
      <c r="S56" s="5"/>
      <c r="T56" s="5"/>
      <c r="U56" s="5"/>
      <c r="V56" s="5"/>
    </row>
    <row r="57" spans="13:22">
      <c r="M57" s="23"/>
      <c r="N57" s="22"/>
      <c r="O57" s="22"/>
      <c r="P57" s="5"/>
      <c r="Q57" s="5"/>
      <c r="R57" s="5"/>
      <c r="S57" s="6"/>
      <c r="T57" s="5"/>
      <c r="U57" s="6"/>
      <c r="V57" s="5"/>
    </row>
    <row r="58" spans="13:22">
      <c r="M58" s="24"/>
      <c r="N58" s="22"/>
      <c r="O58" s="22"/>
      <c r="P58" s="5"/>
      <c r="Q58" s="5"/>
      <c r="R58" s="5"/>
      <c r="S58" s="5"/>
      <c r="T58" s="5"/>
      <c r="U58" s="5"/>
      <c r="V58" s="5"/>
    </row>
    <row r="59" spans="13:22">
      <c r="M59" s="25"/>
      <c r="N59" s="22"/>
      <c r="O59" s="22"/>
      <c r="P59" s="5"/>
      <c r="Q59" s="5"/>
      <c r="R59" s="5"/>
      <c r="S59" s="6"/>
      <c r="T59" s="5"/>
      <c r="U59" s="6"/>
      <c r="V59" s="5"/>
    </row>
    <row r="60" spans="13:22">
      <c r="M60" s="24"/>
      <c r="N60" s="22"/>
      <c r="O60" s="22"/>
      <c r="P60" s="5"/>
      <c r="Q60" s="5"/>
      <c r="R60" s="5"/>
      <c r="S60" s="5"/>
      <c r="T60" s="5"/>
      <c r="U60" s="5"/>
      <c r="V60" s="5"/>
    </row>
    <row r="61" spans="13:22">
      <c r="M61" s="25"/>
      <c r="N61" s="22"/>
      <c r="O61" s="22"/>
      <c r="P61" s="5"/>
      <c r="Q61" s="5"/>
      <c r="R61" s="5"/>
      <c r="S61" s="6"/>
      <c r="T61" s="5"/>
      <c r="U61" s="6"/>
      <c r="V61" s="5"/>
    </row>
    <row r="62" spans="13:22">
      <c r="M62" s="25"/>
      <c r="N62" s="22"/>
      <c r="O62" s="22"/>
      <c r="P62" s="5"/>
      <c r="Q62" s="5"/>
      <c r="R62" s="5"/>
      <c r="S62" s="9"/>
      <c r="T62" s="5"/>
      <c r="U62" s="8"/>
      <c r="V62" s="5"/>
    </row>
    <row r="63" spans="13:22">
      <c r="M63" s="26"/>
      <c r="N63" s="22"/>
      <c r="O63" s="22"/>
      <c r="P63" s="5"/>
      <c r="Q63" s="5"/>
      <c r="R63" s="5"/>
      <c r="S63" s="9"/>
      <c r="T63" s="5"/>
      <c r="U63" s="5"/>
      <c r="V63" s="5"/>
    </row>
    <row r="64" spans="13:22">
      <c r="M64" s="26"/>
      <c r="N64" s="22"/>
      <c r="O64" s="22"/>
      <c r="P64" s="5"/>
      <c r="Q64" s="5"/>
      <c r="R64" s="5"/>
      <c r="S64" s="9"/>
      <c r="T64" s="5"/>
      <c r="U64" s="9"/>
      <c r="V64" s="5"/>
    </row>
    <row r="65" spans="13:22">
      <c r="M65" s="26"/>
      <c r="N65" s="22"/>
      <c r="O65" s="22"/>
      <c r="P65" s="5"/>
      <c r="Q65" s="5"/>
      <c r="R65" s="5"/>
      <c r="S65" s="9"/>
      <c r="T65" s="5"/>
      <c r="U65" s="9"/>
      <c r="V65" s="5"/>
    </row>
    <row r="66" spans="13:22">
      <c r="M66" s="26"/>
      <c r="N66" s="22"/>
      <c r="O66" s="22"/>
      <c r="P66" s="5"/>
      <c r="Q66" s="5"/>
      <c r="R66" s="5"/>
      <c r="S66" s="9"/>
      <c r="T66" s="5"/>
      <c r="U66" s="9"/>
      <c r="V66" s="5"/>
    </row>
    <row r="67" spans="13:22">
      <c r="M67" s="26"/>
      <c r="N67" s="22"/>
      <c r="O67" s="22"/>
      <c r="P67" s="5"/>
      <c r="Q67" s="5"/>
      <c r="R67" s="5"/>
      <c r="S67" s="6"/>
      <c r="T67" s="5"/>
      <c r="U67" s="6"/>
      <c r="V67" s="5"/>
    </row>
    <row r="68" spans="13:22">
      <c r="M68" s="26"/>
      <c r="N68" s="22"/>
      <c r="O68" s="22"/>
      <c r="P68" s="5"/>
      <c r="Q68" s="5"/>
      <c r="R68" s="5"/>
      <c r="S68" s="6"/>
      <c r="T68" s="5"/>
      <c r="U68" s="6"/>
      <c r="V68" s="5"/>
    </row>
    <row r="69" spans="13:22">
      <c r="M69" s="26"/>
      <c r="N69" s="22"/>
      <c r="O69" s="22"/>
      <c r="P69" s="5"/>
      <c r="Q69" s="5"/>
      <c r="R69" s="5"/>
      <c r="S69" s="6"/>
      <c r="T69" s="5"/>
      <c r="U69" s="6"/>
      <c r="V69" s="5"/>
    </row>
    <row r="70" spans="13:22">
      <c r="M70" s="25"/>
      <c r="N70" s="22"/>
      <c r="O70" s="22"/>
      <c r="P70" s="5"/>
      <c r="Q70" s="5"/>
      <c r="R70" s="5"/>
      <c r="S70" s="6"/>
      <c r="T70" s="5"/>
      <c r="U70" s="6"/>
      <c r="V70" s="5"/>
    </row>
    <row r="71" spans="13:22">
      <c r="M71" s="26"/>
      <c r="N71" s="22"/>
      <c r="O71" s="27"/>
      <c r="P71" s="6"/>
      <c r="Q71" s="6"/>
      <c r="R71" s="6"/>
      <c r="S71" s="6"/>
      <c r="T71" s="6"/>
      <c r="U71" s="6"/>
      <c r="V71" s="5"/>
    </row>
    <row r="72" spans="13:22">
      <c r="P72" s="2"/>
    </row>
    <row r="74" spans="13:22">
      <c r="P74" s="2"/>
    </row>
    <row r="76" spans="13:22">
      <c r="P76" s="1"/>
    </row>
    <row r="78" spans="13:22">
      <c r="P78" s="2"/>
    </row>
    <row r="80" spans="13:22">
      <c r="P80" s="2"/>
    </row>
    <row r="82" spans="16:16">
      <c r="P82" s="2"/>
    </row>
    <row r="84" spans="16:16">
      <c r="P84" s="2"/>
    </row>
    <row r="86" spans="16:16">
      <c r="P86" s="2"/>
    </row>
    <row r="88" spans="16:16">
      <c r="P88" s="2"/>
    </row>
    <row r="90" spans="16:16">
      <c r="P90" s="2"/>
    </row>
    <row r="92" spans="16:16">
      <c r="P92" s="2"/>
    </row>
    <row r="94" spans="16:16">
      <c r="P94" s="2"/>
    </row>
    <row r="96" spans="16:16">
      <c r="P96" s="2"/>
    </row>
    <row r="98" spans="16:16">
      <c r="P98" s="2"/>
    </row>
    <row r="100" spans="16:16">
      <c r="P100" s="2" t="s">
        <v>18</v>
      </c>
    </row>
    <row r="102" spans="16:16">
      <c r="P102" s="3">
        <v>8</v>
      </c>
    </row>
    <row r="104" spans="16:16">
      <c r="P104" s="3">
        <v>4</v>
      </c>
    </row>
    <row r="106" spans="16:16">
      <c r="P106" s="4" t="s">
        <v>19</v>
      </c>
    </row>
    <row r="108" spans="16:16">
      <c r="P108" s="2" t="s">
        <v>20</v>
      </c>
    </row>
  </sheetData>
  <mergeCells count="2">
    <mergeCell ref="F6:I6"/>
    <mergeCell ref="J6:N6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Whitworth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andypugh</dc:creator>
  <cp:lastModifiedBy>Eric Featherstone</cp:lastModifiedBy>
  <dcterms:created xsi:type="dcterms:W3CDTF">2021-12-21T23:11:23Z</dcterms:created>
  <dcterms:modified xsi:type="dcterms:W3CDTF">2022-11-29T17:55:27Z</dcterms:modified>
</cp:coreProperties>
</file>